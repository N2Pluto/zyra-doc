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วิธีใช้" sheetId="1" state="visible" r:id="rId1"/>
    <sheet name="สรุป" sheetId="2" state="visible" r:id="rId2"/>
    <sheet name="Frontend" sheetId="3" state="visible" r:id="rId3"/>
    <sheet name="Backend" sheetId="4" state="visible" r:id="rId4"/>
  </sheets>
  <definedNames>
    <definedName name="_xlnm._FilterDatabase" localSheetId="2" hidden="1">'Frontend'!$A$1:$O$180</definedName>
    <definedName name="_xlnm._FilterDatabase" localSheetId="3" hidden="1">'Backend'!$A$1:$O$54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color rgb="005B6660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1F3A2C"/>
      </patternFill>
    </fill>
  </fills>
  <borders count="2">
    <border>
      <left/>
      <right/>
      <top/>
      <bottom/>
      <diagonal/>
    </border>
    <border>
      <left style="thin">
        <color rgb="00D5DCD7"/>
      </left>
      <right style="thin">
        <color rgb="00D5DCD7"/>
      </right>
      <top style="thin">
        <color rgb="00D5DCD7"/>
      </top>
      <bottom style="thin">
        <color rgb="00D5DCD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3" borderId="0" pivotButton="0" quotePrefix="0" xfId="0"/>
    <xf numFmtId="0" fontId="5" fillId="3" borderId="1" applyAlignment="1" pivotButton="0" quotePrefix="0" xfId="0">
      <alignment vertical="center" wrapText="1"/>
    </xf>
    <xf numFmtId="0" fontId="3" fillId="0" borderId="1" pivotButton="0" quotePrefix="0" xfId="0"/>
    <xf numFmtId="9" fontId="3" fillId="0" borderId="1" pivotButton="0" quotePrefix="0" xfId="0"/>
    <xf numFmtId="0" fontId="2" fillId="0" borderId="1" pivotButton="0" quotePrefix="0" xfId="0"/>
    <xf numFmtId="9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164" fontId="3" fillId="2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C8EBD3"/>
        </patternFill>
      </fill>
    </dxf>
    <dxf>
      <fill>
        <patternFill patternType="solid">
          <fgColor rgb="00F7C9C5"/>
        </patternFill>
      </fill>
    </dxf>
    <dxf>
      <fill>
        <patternFill patternType="solid">
          <fgColor rgb="00E1E4E8"/>
        </patternFill>
      </fill>
    </dxf>
    <dxf>
      <font>
        <name val="Arial"/>
        <b val="1"/>
        <color rgb="00B3261E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Test Plan — Zyra World Mobile App (QA)</t>
        </is>
      </c>
    </row>
    <row r="3">
      <c r="A3" s="2" t="inlineStr">
        <is>
          <t>ที่มา</t>
        </is>
      </c>
      <c r="B3" s="3" t="inlineStr">
        <is>
          <t>zyra-doc/plan/MobileApp/test-plan.md (2026-10-02) · ค่าจาก ux-ui-plan.md, spec.md, technical-design.md, task-breakdown.md</t>
        </is>
      </c>
    </row>
    <row r="4">
      <c r="A4" s="2" t="inlineStr">
        <is>
          <t>สถานะงาน</t>
        </is>
      </c>
      <c r="B4" s="3" t="inlineStr">
        <is>
          <t>ยังไม่มีโค้ด mobile ให้รัน — รายการนี้เตรียมไว้ล่วงหน้า ใช้เป็น acceptance ของแต่ละ task</t>
        </is>
      </c>
    </row>
    <row r="5">
      <c r="A5" s="2" t="inlineStr">
        <is>
          <t>mockup หน้าที่ยังไม่มีใน Figma</t>
        </is>
      </c>
      <c r="B5" s="3" t="inlineStr">
        <is>
          <t>https://zyra-mobile-ui-proposals.vercel.app</t>
        </is>
      </c>
    </row>
    <row r="6">
      <c r="A6" s="2" t="inlineStr">
        <is>
          <t>กฎ Comp 80%</t>
        </is>
      </c>
      <c r="B6" s="3" t="inlineStr">
        <is>
          <t>ก่อนเปลี่ยน ClickUp task เป็น Completed ต้องทดสอบผ่าน ≥ 80% ของรายการที่เกี่ยวข้อง (ดูชีต สรุป)</t>
        </is>
      </c>
    </row>
    <row r="8">
      <c r="A8" s="2" t="inlineStr">
        <is>
          <t>ช่องที่ QA กรอก</t>
        </is>
      </c>
      <c r="B8" s="4" t="inlineStr">
        <is>
          <t>เฉพาะช่องพื้นเหลืองในชีต Frontend / Backend: สถานะ · ผู้ทดสอบ · วันที่ทดสอบ · เครื่อง / ช่องทาง · ลิงก์ bug · หมายเหตุ  (ช่องอื่นอย่าแก้)</t>
        </is>
      </c>
    </row>
    <row r="10">
      <c r="A10" s="2" t="inlineStr">
        <is>
          <t>สถานะ (dropdown)</t>
        </is>
      </c>
    </row>
    <row r="11">
      <c r="A11" s="5" t="inlineStr">
        <is>
          <t>ยังไม่ทดสอบ</t>
        </is>
      </c>
      <c r="B11" s="5" t="inlineStr">
        <is>
          <t>ค่าเริ่มต้น</t>
        </is>
      </c>
    </row>
    <row r="12">
      <c r="A12" s="5" t="inlineStr">
        <is>
          <t>ผ่าน</t>
        </is>
      </c>
      <c r="B12" s="5" t="inlineStr">
        <is>
          <t>ผลตรงตามคอลัมน์ ผลที่คาด</t>
        </is>
      </c>
    </row>
    <row r="13">
      <c r="A13" s="5" t="inlineStr">
        <is>
          <t>ไม่ผ่าน</t>
        </is>
      </c>
      <c r="B13" s="5" t="inlineStr">
        <is>
          <t>ใส่ลิงก์ bug ในคอลัมน์ ลิงก์ bug</t>
        </is>
      </c>
    </row>
    <row r="14">
      <c r="A14" s="5" t="inlineStr">
        <is>
          <t>Blocked</t>
        </is>
      </c>
      <c r="B14" s="5" t="inlineStr">
        <is>
          <t>ยังทดสอบไม่ได้ — ดูคอลัมน์ เหตุที่ blocked (รอ UI จาก design / รอมติ / Phase หลัง)</t>
        </is>
      </c>
    </row>
    <row r="16">
      <c r="A16" s="2" t="inlineStr">
        <is>
          <t>Priority</t>
        </is>
      </c>
    </row>
    <row r="17">
      <c r="A17" s="5" t="inlineStr">
        <is>
          <t>P0</t>
        </is>
      </c>
      <c r="B17" s="5" t="inlineStr">
        <is>
          <t>กั้นการขึ้น store หรือใช้งานหลักไม่ได้</t>
        </is>
      </c>
    </row>
    <row r="18">
      <c r="A18" s="5" t="inlineStr">
        <is>
          <t>P1</t>
        </is>
      </c>
      <c r="B18" s="5" t="inlineStr">
        <is>
          <t>ฟีเจอร์หลักของรอบแรก</t>
        </is>
      </c>
    </row>
    <row r="19">
      <c r="A19" s="5" t="inlineStr">
        <is>
          <t>P2</t>
        </is>
      </c>
      <c r="B19" s="5" t="inlineStr">
        <is>
          <t>รายละเอียด / edge case</t>
        </is>
      </c>
    </row>
    <row r="20">
      <c r="A20" s="5" t="inlineStr">
        <is>
          <t>-</t>
        </is>
      </c>
      <c r="B20" s="5" t="inlineStr">
        <is>
          <t>ยังไม่กำหนด (รอมติหรือ Phase หลัง)</t>
        </is>
      </c>
    </row>
    <row r="22">
      <c r="A22" s="2" t="inlineStr">
        <is>
          <t>ตัวอย่างการกรอก</t>
        </is>
      </c>
    </row>
    <row r="23">
      <c r="A23" s="5" t="inlineStr">
        <is>
          <t>FE-MEET-10</t>
        </is>
      </c>
      <c r="B23" s="6" t="inlineStr">
        <is>
          <t>สถานะ = ผ่าน · ผู้ทดสอบ = QA ชื่อเล่น · วันที่ = 2026-10-20 · เครื่อง = iPhone 13 / แอป iOS 1.0.0 (TestFlight) · หมายเหตุ = สลับคนพูดช้า ~1 วิ</t>
        </is>
      </c>
    </row>
    <row r="25">
      <c r="A25" s="2" t="inlineStr">
        <is>
          <t>เครื่องทดสอบ</t>
        </is>
      </c>
    </row>
    <row r="26">
      <c r="A26" s="7" t="inlineStr">
        <is>
          <t>เครื่อง</t>
        </is>
      </c>
      <c r="B26" s="7" t="inlineStr">
        <is>
          <t>ขนาด / ใช้ทดสอบ</t>
        </is>
      </c>
    </row>
    <row r="27">
      <c r="A27" s="5" t="inlineStr">
        <is>
          <t>iPhone SE (3rd)</t>
        </is>
      </c>
      <c r="B27" s="5" t="inlineStr">
        <is>
          <t>375×667 · จอเล็ก · Spatial 667×375</t>
        </is>
      </c>
    </row>
    <row r="28">
      <c r="A28" s="5" t="inlineStr">
        <is>
          <t>iPhone 13 / 14</t>
        </is>
      </c>
      <c r="B28" s="5" t="inlineStr">
        <is>
          <t>390×844 · เครื่องหลัก (ขนาด Figma)</t>
        </is>
      </c>
    </row>
    <row r="29">
      <c r="A29" s="5" t="inlineStr">
        <is>
          <t>iPhone 14 Pro Max</t>
        </is>
      </c>
      <c r="B29" s="5" t="inlineStr">
        <is>
          <t>430×932 · จอใหญ่</t>
        </is>
      </c>
    </row>
    <row r="30">
      <c r="A30" s="5" t="inlineStr">
        <is>
          <t>Samsung Galaxy S23 หรือ Pixel 7</t>
        </is>
      </c>
      <c r="B30" s="5" t="inlineStr">
        <is>
          <t>393×873 · Android หลัก</t>
        </is>
      </c>
    </row>
    <row r="31">
      <c r="A31" s="5" t="inlineStr">
        <is>
          <t>Android เครื่องกลาง (Galaxy A54 / Pixel 6a)</t>
        </is>
      </c>
      <c r="B31" s="5" t="inlineStr">
        <is>
          <t>performance EP-01</t>
        </is>
      </c>
    </row>
    <row r="32">
      <c r="A32" s="5" t="inlineStr">
        <is>
          <t>iPad mini</t>
        </is>
      </c>
      <c r="B32" s="5" t="inlineStr">
        <is>
          <t>744×1133 · tablet + Split View</t>
        </is>
      </c>
    </row>
    <row r="33">
      <c r="A33" s="5" t="inlineStr">
        <is>
          <t>iPad Pro 12.9"</t>
        </is>
      </c>
      <c r="B33" s="5" t="inlineStr">
        <is>
          <t>1024×1366 · tablet ใหญ่</t>
        </is>
      </c>
    </row>
    <row r="34">
      <c r="A34" s="5" t="inlineStr">
        <is>
          <t>Galaxy Tab</t>
        </is>
      </c>
      <c r="B34" s="5" t="inlineStr">
        <is>
          <t>800×1280 · Android tablet</t>
        </is>
      </c>
    </row>
    <row r="35">
      <c r="A35" s="5" t="inlineStr">
        <is>
          <t>Desktop Chrome</t>
        </is>
      </c>
      <c r="B35" s="5" t="inlineStr">
        <is>
          <t>ฝั่งคนดู / คนในห้องที่ใช้ desktop + EP-02 desktop</t>
        </is>
      </c>
    </row>
    <row r="37">
      <c r="A37" s="2" t="inlineStr">
        <is>
          <t>ข้อมูลที่ต้องเตรียม</t>
        </is>
      </c>
      <c r="B37" s="3" t="inlineStr">
        <is>
          <t>บัญชีทดสอบ ≥ 4 คน (Owner, Admin, Member 2) · workspace ทดสอบที่มีห้องประชุม ห้องล็อก Circle spotlight marker และ 2 floor · Google account / Apple ID ทดสอบ · Network Link Conditioner (iOS) / Chrome DevTools throttling สำหรับเน็ตแย่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4" customWidth="1" min="3" max="3"/>
    <col width="9" customWidth="1" min="4" max="4"/>
    <col width="8" customWidth="1" min="5" max="5"/>
    <col width="9" customWidth="1" min="6" max="6"/>
    <col width="9" customWidth="1" min="7" max="7"/>
    <col width="12" customWidth="1" min="8" max="8"/>
    <col width="9" customWidth="1" min="9" max="9"/>
    <col width="13" customWidth="1" min="10" max="10"/>
    <col width="10" customWidth="1" min="11" max="11"/>
    <col width="9" customWidth="1" min="12" max="12"/>
  </cols>
  <sheetData>
    <row r="1">
      <c r="A1" s="1" t="inlineStr">
        <is>
          <t>สรุปผลทดสอบ (คำนวณจากคอลัมน์ สถานะ อัตโนมัติ)</t>
        </is>
      </c>
    </row>
    <row r="3">
      <c r="A3" s="8" t="inlineStr">
        <is>
          <t>ส่วน</t>
        </is>
      </c>
      <c r="B3" s="8" t="inlineStr">
        <is>
          <t>กลุ่ม</t>
        </is>
      </c>
      <c r="C3" s="8" t="inlineStr">
        <is>
          <t>หัวข้อกลุ่ม</t>
        </is>
      </c>
      <c r="D3" s="8" t="inlineStr">
        <is>
          <t>ทั้งหมด</t>
        </is>
      </c>
      <c r="E3" s="8" t="inlineStr">
        <is>
          <t>ผ่าน</t>
        </is>
      </c>
      <c r="F3" s="8" t="inlineStr">
        <is>
          <t>ไม่ผ่าน</t>
        </is>
      </c>
      <c r="G3" s="8" t="inlineStr">
        <is>
          <t>Blocked</t>
        </is>
      </c>
      <c r="H3" s="8" t="inlineStr">
        <is>
          <t>ยังไม่ทดสอบ</t>
        </is>
      </c>
      <c r="I3" s="8" t="inlineStr">
        <is>
          <t>% ผ่าน</t>
        </is>
      </c>
      <c r="J3" s="8" t="inlineStr">
        <is>
          <t>ถึง 80% แล้ว?</t>
        </is>
      </c>
      <c r="K3" s="8" t="inlineStr">
        <is>
          <t>P0 ทั้งหมด</t>
        </is>
      </c>
      <c r="L3" s="8" t="inlineStr">
        <is>
          <t>P0 ผ่าน</t>
        </is>
      </c>
    </row>
    <row r="4">
      <c r="A4" s="9" t="inlineStr">
        <is>
          <t>Frontend</t>
        </is>
      </c>
      <c r="B4" s="9" t="inlineStr">
        <is>
          <t>FE-ENV</t>
        </is>
      </c>
      <c r="C4" s="9" t="inlineStr">
        <is>
          <t>ตัวตัดสิน UI มือถือ และขนาดจอ (EC-03 · task 0.41–0.44, 1.16)</t>
        </is>
      </c>
      <c r="D4" s="9">
        <f>COUNTIFS(Frontend!$B$2:$B$180,$B4)</f>
        <v/>
      </c>
      <c r="E4" s="9">
        <f>COUNTIFS(Frontend!$B$2:$B$180,$B4,Frontend!$I$2:$I$180,"ผ่าน")</f>
        <v/>
      </c>
      <c r="F4" s="9">
        <f>COUNTIFS(Frontend!$B$2:$B$180,$B4,Frontend!$I$2:$I$180,"ไม่ผ่าน")</f>
        <v/>
      </c>
      <c r="G4" s="9">
        <f>COUNTIFS(Frontend!$B$2:$B$180,$B4,Frontend!$I$2:$I$180,"Blocked")</f>
        <v/>
      </c>
      <c r="H4" s="9">
        <f>COUNTIFS(Frontend!$B$2:$B$180,$B4,Frontend!$I$2:$I$180,"ยังไม่ทดสอบ")</f>
        <v/>
      </c>
      <c r="I4" s="10">
        <f>IF(D4=0,0,E4/D4)</f>
        <v/>
      </c>
      <c r="J4" s="9">
        <f>IF(I4&gt;=0.8,"ถึงแล้ว","ยังไม่ถึง")</f>
        <v/>
      </c>
      <c r="K4" s="9">
        <f>COUNTIFS(Frontend!$B$2:$B$180,$B4,Frontend!$D$2:$D$180,"P0")</f>
        <v/>
      </c>
      <c r="L4" s="9">
        <f>COUNTIFS(Frontend!$B$2:$B$180,$B4,Frontend!$D$2:$D$180,"P0",Frontend!$I$2:$I$180,"ผ่าน")</f>
        <v/>
      </c>
    </row>
    <row r="5">
      <c r="A5" s="9" t="inlineStr">
        <is>
          <t>Frontend</t>
        </is>
      </c>
      <c r="B5" s="9" t="inlineStr">
        <is>
          <t>FE-ONB</t>
        </is>
      </c>
      <c r="C5" s="9" t="inlineStr">
        <is>
          <t>ติดตั้ง เปิดแอป login (HP-07 · task 0.31–0.33, 0.46, 1.2–1.5)</t>
        </is>
      </c>
      <c r="D5" s="9">
        <f>COUNTIFS(Frontend!$B$2:$B$180,$B5)</f>
        <v/>
      </c>
      <c r="E5" s="9">
        <f>COUNTIFS(Frontend!$B$2:$B$180,$B5,Frontend!$I$2:$I$180,"ผ่าน")</f>
        <v/>
      </c>
      <c r="F5" s="9">
        <f>COUNTIFS(Frontend!$B$2:$B$180,$B5,Frontend!$I$2:$I$180,"ไม่ผ่าน")</f>
        <v/>
      </c>
      <c r="G5" s="9">
        <f>COUNTIFS(Frontend!$B$2:$B$180,$B5,Frontend!$I$2:$I$180,"Blocked")</f>
        <v/>
      </c>
      <c r="H5" s="9">
        <f>COUNTIFS(Frontend!$B$2:$B$180,$B5,Frontend!$I$2:$I$180,"ยังไม่ทดสอบ")</f>
        <v/>
      </c>
      <c r="I5" s="10">
        <f>IF(D5=0,0,E5/D5)</f>
        <v/>
      </c>
      <c r="J5" s="9">
        <f>IF(I5&gt;=0.8,"ถึงแล้ว","ยังไม่ถึง")</f>
        <v/>
      </c>
      <c r="K5" s="9">
        <f>COUNTIFS(Frontend!$B$2:$B$180,$B5,Frontend!$D$2:$D$180,"P0")</f>
        <v/>
      </c>
      <c r="L5" s="9">
        <f>COUNTIFS(Frontend!$B$2:$B$180,$B5,Frontend!$D$2:$D$180,"P0",Frontend!$I$2:$I$180,"ผ่าน")</f>
        <v/>
      </c>
    </row>
    <row r="6">
      <c r="A6" s="9" t="inlineStr">
        <is>
          <t>Frontend</t>
        </is>
      </c>
      <c r="B6" s="9" t="inlineStr">
        <is>
          <t>FE-MODE</t>
        </is>
      </c>
      <c r="C6" s="9" t="inlineStr">
        <is>
          <t>เลือกโหมด Lite / Spatial และหน้า Rotate (HP-03 · task 0.12–0.15, 0.42)</t>
        </is>
      </c>
      <c r="D6" s="9">
        <f>COUNTIFS(Frontend!$B$2:$B$180,$B6)</f>
        <v/>
      </c>
      <c r="E6" s="9">
        <f>COUNTIFS(Frontend!$B$2:$B$180,$B6,Frontend!$I$2:$I$180,"ผ่าน")</f>
        <v/>
      </c>
      <c r="F6" s="9">
        <f>COUNTIFS(Frontend!$B$2:$B$180,$B6,Frontend!$I$2:$I$180,"ไม่ผ่าน")</f>
        <v/>
      </c>
      <c r="G6" s="9">
        <f>COUNTIFS(Frontend!$B$2:$B$180,$B6,Frontend!$I$2:$I$180,"Blocked")</f>
        <v/>
      </c>
      <c r="H6" s="9">
        <f>COUNTIFS(Frontend!$B$2:$B$180,$B6,Frontend!$I$2:$I$180,"ยังไม่ทดสอบ")</f>
        <v/>
      </c>
      <c r="I6" s="10">
        <f>IF(D6=0,0,E6/D6)</f>
        <v/>
      </c>
      <c r="J6" s="9">
        <f>IF(I6&gt;=0.8,"ถึงแล้ว","ยังไม่ถึง")</f>
        <v/>
      </c>
      <c r="K6" s="9">
        <f>COUNTIFS(Frontend!$B$2:$B$180,$B6,Frontend!$D$2:$D$180,"P0")</f>
        <v/>
      </c>
      <c r="L6" s="9">
        <f>COUNTIFS(Frontend!$B$2:$B$180,$B6,Frontend!$D$2:$D$180,"P0",Frontend!$I$2:$I$180,"ผ่าน")</f>
        <v/>
      </c>
    </row>
    <row r="7">
      <c r="A7" s="9" t="inlineStr">
        <is>
          <t>Frontend</t>
        </is>
      </c>
      <c r="B7" s="9" t="inlineStr">
        <is>
          <t>FE-LITE</t>
        </is>
      </c>
      <c r="C7" s="9" t="inlineStr">
        <is>
          <t>Lite Home และ navigation (HP-03, HP-06 · task 0.14, 0.28–0.30)</t>
        </is>
      </c>
      <c r="D7" s="9">
        <f>COUNTIFS(Frontend!$B$2:$B$180,$B7)</f>
        <v/>
      </c>
      <c r="E7" s="9">
        <f>COUNTIFS(Frontend!$B$2:$B$180,$B7,Frontend!$I$2:$I$180,"ผ่าน")</f>
        <v/>
      </c>
      <c r="F7" s="9">
        <f>COUNTIFS(Frontend!$B$2:$B$180,$B7,Frontend!$I$2:$I$180,"ไม่ผ่าน")</f>
        <v/>
      </c>
      <c r="G7" s="9">
        <f>COUNTIFS(Frontend!$B$2:$B$180,$B7,Frontend!$I$2:$I$180,"Blocked")</f>
        <v/>
      </c>
      <c r="H7" s="9">
        <f>COUNTIFS(Frontend!$B$2:$B$180,$B7,Frontend!$I$2:$I$180,"ยังไม่ทดสอบ")</f>
        <v/>
      </c>
      <c r="I7" s="10">
        <f>IF(D7=0,0,E7/D7)</f>
        <v/>
      </c>
      <c r="J7" s="9">
        <f>IF(I7&gt;=0.8,"ถึงแล้ว","ยังไม่ถึง")</f>
        <v/>
      </c>
      <c r="K7" s="9">
        <f>COUNTIFS(Frontend!$B$2:$B$180,$B7,Frontend!$D$2:$D$180,"P0")</f>
        <v/>
      </c>
      <c r="L7" s="9">
        <f>COUNTIFS(Frontend!$B$2:$B$180,$B7,Frontend!$D$2:$D$180,"P0",Frontend!$I$2:$I$180,"ผ่าน")</f>
        <v/>
      </c>
    </row>
    <row r="8">
      <c r="A8" s="9" t="inlineStr">
        <is>
          <t>Frontend</t>
        </is>
      </c>
      <c r="B8" s="9" t="inlineStr">
        <is>
          <t>FE-VO</t>
        </is>
      </c>
      <c r="C8" s="9" t="inlineStr">
        <is>
          <t>Spatial Mode บนแมพ (HP-03 · task 0.3–0.7)</t>
        </is>
      </c>
      <c r="D8" s="9">
        <f>COUNTIFS(Frontend!$B$2:$B$180,$B8)</f>
        <v/>
      </c>
      <c r="E8" s="9">
        <f>COUNTIFS(Frontend!$B$2:$B$180,$B8,Frontend!$I$2:$I$180,"ผ่าน")</f>
        <v/>
      </c>
      <c r="F8" s="9">
        <f>COUNTIFS(Frontend!$B$2:$B$180,$B8,Frontend!$I$2:$I$180,"ไม่ผ่าน")</f>
        <v/>
      </c>
      <c r="G8" s="9">
        <f>COUNTIFS(Frontend!$B$2:$B$180,$B8,Frontend!$I$2:$I$180,"Blocked")</f>
        <v/>
      </c>
      <c r="H8" s="9">
        <f>COUNTIFS(Frontend!$B$2:$B$180,$B8,Frontend!$I$2:$I$180,"ยังไม่ทดสอบ")</f>
        <v/>
      </c>
      <c r="I8" s="10">
        <f>IF(D8=0,0,E8/D8)</f>
        <v/>
      </c>
      <c r="J8" s="9">
        <f>IF(I8&gt;=0.8,"ถึงแล้ว","ยังไม่ถึง")</f>
        <v/>
      </c>
      <c r="K8" s="9">
        <f>COUNTIFS(Frontend!$B$2:$B$180,$B8,Frontend!$D$2:$D$180,"P0")</f>
        <v/>
      </c>
      <c r="L8" s="9">
        <f>COUNTIFS(Frontend!$B$2:$B$180,$B8,Frontend!$D$2:$D$180,"P0",Frontend!$I$2:$I$180,"ผ่าน")</f>
        <v/>
      </c>
    </row>
    <row r="9">
      <c r="A9" s="9" t="inlineStr">
        <is>
          <t>Frontend</t>
        </is>
      </c>
      <c r="B9" s="9" t="inlineStr">
        <is>
          <t>FE-MEET</t>
        </is>
      </c>
      <c r="C9" s="9" t="inlineStr">
        <is>
          <t>Meeting (HP-04 · task 0.8, 0.17–0.20, 0.45)</t>
        </is>
      </c>
      <c r="D9" s="9">
        <f>COUNTIFS(Frontend!$B$2:$B$180,$B9)</f>
        <v/>
      </c>
      <c r="E9" s="9">
        <f>COUNTIFS(Frontend!$B$2:$B$180,$B9,Frontend!$I$2:$I$180,"ผ่าน")</f>
        <v/>
      </c>
      <c r="F9" s="9">
        <f>COUNTIFS(Frontend!$B$2:$B$180,$B9,Frontend!$I$2:$I$180,"ไม่ผ่าน")</f>
        <v/>
      </c>
      <c r="G9" s="9">
        <f>COUNTIFS(Frontend!$B$2:$B$180,$B9,Frontend!$I$2:$I$180,"Blocked")</f>
        <v/>
      </c>
      <c r="H9" s="9">
        <f>COUNTIFS(Frontend!$B$2:$B$180,$B9,Frontend!$I$2:$I$180,"ยังไม่ทดสอบ")</f>
        <v/>
      </c>
      <c r="I9" s="10">
        <f>IF(D9=0,0,E9/D9)</f>
        <v/>
      </c>
      <c r="J9" s="9">
        <f>IF(I9&gt;=0.8,"ถึงแล้ว","ยังไม่ถึง")</f>
        <v/>
      </c>
      <c r="K9" s="9">
        <f>COUNTIFS(Frontend!$B$2:$B$180,$B9,Frontend!$D$2:$D$180,"P0")</f>
        <v/>
      </c>
      <c r="L9" s="9">
        <f>COUNTIFS(Frontend!$B$2:$B$180,$B9,Frontend!$D$2:$D$180,"P0",Frontend!$I$2:$I$180,"ผ่าน")</f>
        <v/>
      </c>
    </row>
    <row r="10">
      <c r="A10" s="9" t="inlineStr">
        <is>
          <t>Frontend</t>
        </is>
      </c>
      <c r="B10" s="9" t="inlineStr">
        <is>
          <t>FE-CHAT</t>
        </is>
      </c>
      <c r="C10" s="9" t="inlineStr">
        <is>
          <t>Chat (HP-05 · task 0.21–0.27, 0.37)</t>
        </is>
      </c>
      <c r="D10" s="9">
        <f>COUNTIFS(Frontend!$B$2:$B$180,$B10)</f>
        <v/>
      </c>
      <c r="E10" s="9">
        <f>COUNTIFS(Frontend!$B$2:$B$180,$B10,Frontend!$I$2:$I$180,"ผ่าน")</f>
        <v/>
      </c>
      <c r="F10" s="9">
        <f>COUNTIFS(Frontend!$B$2:$B$180,$B10,Frontend!$I$2:$I$180,"ไม่ผ่าน")</f>
        <v/>
      </c>
      <c r="G10" s="9">
        <f>COUNTIFS(Frontend!$B$2:$B$180,$B10,Frontend!$I$2:$I$180,"Blocked")</f>
        <v/>
      </c>
      <c r="H10" s="9">
        <f>COUNTIFS(Frontend!$B$2:$B$180,$B10,Frontend!$I$2:$I$180,"ยังไม่ทดสอบ")</f>
        <v/>
      </c>
      <c r="I10" s="10">
        <f>IF(D10=0,0,E10/D10)</f>
        <v/>
      </c>
      <c r="J10" s="9">
        <f>IF(I10&gt;=0.8,"ถึงแล้ว","ยังไม่ถึง")</f>
        <v/>
      </c>
      <c r="K10" s="9">
        <f>COUNTIFS(Frontend!$B$2:$B$180,$B10,Frontend!$D$2:$D$180,"P0")</f>
        <v/>
      </c>
      <c r="L10" s="9">
        <f>COUNTIFS(Frontend!$B$2:$B$180,$B10,Frontend!$D$2:$D$180,"P0",Frontend!$I$2:$I$180,"ผ่าน")</f>
        <v/>
      </c>
    </row>
    <row r="11">
      <c r="A11" s="9" t="inlineStr">
        <is>
          <t>Frontend</t>
        </is>
      </c>
      <c r="B11" s="9" t="inlineStr">
        <is>
          <t>FE-PUSH</t>
        </is>
      </c>
      <c r="C11" s="9" t="inlineStr">
        <is>
          <t>Push notification ฝั่งเครื่อง (HP-08 · task 0.34, 1.8, 2.5, 2.6)</t>
        </is>
      </c>
      <c r="D11" s="9">
        <f>COUNTIFS(Frontend!$B$2:$B$180,$B11)</f>
        <v/>
      </c>
      <c r="E11" s="9">
        <f>COUNTIFS(Frontend!$B$2:$B$180,$B11,Frontend!$I$2:$I$180,"ผ่าน")</f>
        <v/>
      </c>
      <c r="F11" s="9">
        <f>COUNTIFS(Frontend!$B$2:$B$180,$B11,Frontend!$I$2:$I$180,"ไม่ผ่าน")</f>
        <v/>
      </c>
      <c r="G11" s="9">
        <f>COUNTIFS(Frontend!$B$2:$B$180,$B11,Frontend!$I$2:$I$180,"Blocked")</f>
        <v/>
      </c>
      <c r="H11" s="9">
        <f>COUNTIFS(Frontend!$B$2:$B$180,$B11,Frontend!$I$2:$I$180,"ยังไม่ทดสอบ")</f>
        <v/>
      </c>
      <c r="I11" s="10">
        <f>IF(D11=0,0,E11/D11)</f>
        <v/>
      </c>
      <c r="J11" s="9">
        <f>IF(I11&gt;=0.8,"ถึงแล้ว","ยังไม่ถึง")</f>
        <v/>
      </c>
      <c r="K11" s="9">
        <f>COUNTIFS(Frontend!$B$2:$B$180,$B11,Frontend!$D$2:$D$180,"P0")</f>
        <v/>
      </c>
      <c r="L11" s="9">
        <f>COUNTIFS(Frontend!$B$2:$B$180,$B11,Frontend!$D$2:$D$180,"P0",Frontend!$I$2:$I$180,"ผ่าน")</f>
        <v/>
      </c>
    </row>
    <row r="12">
      <c r="A12" s="9" t="inlineStr">
        <is>
          <t>Frontend</t>
        </is>
      </c>
      <c r="B12" s="9" t="inlineStr">
        <is>
          <t>FE-PERM</t>
        </is>
      </c>
      <c r="C12" s="9" t="inlineStr">
        <is>
          <t>สิทธิ์กล้องและไมค์ (HP-09 · task 0.35, 1.14)</t>
        </is>
      </c>
      <c r="D12" s="9">
        <f>COUNTIFS(Frontend!$B$2:$B$180,$B12)</f>
        <v/>
      </c>
      <c r="E12" s="9">
        <f>COUNTIFS(Frontend!$B$2:$B$180,$B12,Frontend!$I$2:$I$180,"ผ่าน")</f>
        <v/>
      </c>
      <c r="F12" s="9">
        <f>COUNTIFS(Frontend!$B$2:$B$180,$B12,Frontend!$I$2:$I$180,"ไม่ผ่าน")</f>
        <v/>
      </c>
      <c r="G12" s="9">
        <f>COUNTIFS(Frontend!$B$2:$B$180,$B12,Frontend!$I$2:$I$180,"Blocked")</f>
        <v/>
      </c>
      <c r="H12" s="9">
        <f>COUNTIFS(Frontend!$B$2:$B$180,$B12,Frontend!$I$2:$I$180,"ยังไม่ทดสอบ")</f>
        <v/>
      </c>
      <c r="I12" s="10">
        <f>IF(D12=0,0,E12/D12)</f>
        <v/>
      </c>
      <c r="J12" s="9">
        <f>IF(I12&gt;=0.8,"ถึงแล้ว","ยังไม่ถึง")</f>
        <v/>
      </c>
      <c r="K12" s="9">
        <f>COUNTIFS(Frontend!$B$2:$B$180,$B12,Frontend!$D$2:$D$180,"P0")</f>
        <v/>
      </c>
      <c r="L12" s="9">
        <f>COUNTIFS(Frontend!$B$2:$B$180,$B12,Frontend!$D$2:$D$180,"P0",Frontend!$I$2:$I$180,"ผ่าน")</f>
        <v/>
      </c>
    </row>
    <row r="13">
      <c r="A13" s="9" t="inlineStr">
        <is>
          <t>Frontend</t>
        </is>
      </c>
      <c r="B13" s="9" t="inlineStr">
        <is>
          <t>FE-CONN</t>
        </is>
      </c>
      <c r="C13" s="9" t="inlineStr">
        <is>
          <t>เน็ตหลุด / เน็ตแย่ (HP-10, EP-02 · task 0.36, 0.40, 1.11)</t>
        </is>
      </c>
      <c r="D13" s="9">
        <f>COUNTIFS(Frontend!$B$2:$B$180,$B13)</f>
        <v/>
      </c>
      <c r="E13" s="9">
        <f>COUNTIFS(Frontend!$B$2:$B$180,$B13,Frontend!$I$2:$I$180,"ผ่าน")</f>
        <v/>
      </c>
      <c r="F13" s="9">
        <f>COUNTIFS(Frontend!$B$2:$B$180,$B13,Frontend!$I$2:$I$180,"ไม่ผ่าน")</f>
        <v/>
      </c>
      <c r="G13" s="9">
        <f>COUNTIFS(Frontend!$B$2:$B$180,$B13,Frontend!$I$2:$I$180,"Blocked")</f>
        <v/>
      </c>
      <c r="H13" s="9">
        <f>COUNTIFS(Frontend!$B$2:$B$180,$B13,Frontend!$I$2:$I$180,"ยังไม่ทดสอบ")</f>
        <v/>
      </c>
      <c r="I13" s="10">
        <f>IF(D13=0,0,E13/D13)</f>
        <v/>
      </c>
      <c r="J13" s="9">
        <f>IF(I13&gt;=0.8,"ถึงแล้ว","ยังไม่ถึง")</f>
        <v/>
      </c>
      <c r="K13" s="9">
        <f>COUNTIFS(Frontend!$B$2:$B$180,$B13,Frontend!$D$2:$D$180,"P0")</f>
        <v/>
      </c>
      <c r="L13" s="9">
        <f>COUNTIFS(Frontend!$B$2:$B$180,$B13,Frontend!$D$2:$D$180,"P0",Frontend!$I$2:$I$180,"ผ่าน")</f>
        <v/>
      </c>
    </row>
    <row r="14">
      <c r="A14" s="9" t="inlineStr">
        <is>
          <t>Frontend</t>
        </is>
      </c>
      <c r="B14" s="9" t="inlineStr">
        <is>
          <t>FE-PERF</t>
        </is>
      </c>
      <c r="C14" s="9" t="inlineStr">
        <is>
          <t>Performance fallback (EP-01 · task 0.38, 0.39, 1.15)</t>
        </is>
      </c>
      <c r="D14" s="9">
        <f>COUNTIFS(Frontend!$B$2:$B$180,$B14)</f>
        <v/>
      </c>
      <c r="E14" s="9">
        <f>COUNTIFS(Frontend!$B$2:$B$180,$B14,Frontend!$I$2:$I$180,"ผ่าน")</f>
        <v/>
      </c>
      <c r="F14" s="9">
        <f>COUNTIFS(Frontend!$B$2:$B$180,$B14,Frontend!$I$2:$I$180,"ไม่ผ่าน")</f>
        <v/>
      </c>
      <c r="G14" s="9">
        <f>COUNTIFS(Frontend!$B$2:$B$180,$B14,Frontend!$I$2:$I$180,"Blocked")</f>
        <v/>
      </c>
      <c r="H14" s="9">
        <f>COUNTIFS(Frontend!$B$2:$B$180,$B14,Frontend!$I$2:$I$180,"ยังไม่ทดสอบ")</f>
        <v/>
      </c>
      <c r="I14" s="10">
        <f>IF(D14=0,0,E14/D14)</f>
        <v/>
      </c>
      <c r="J14" s="9">
        <f>IF(I14&gt;=0.8,"ถึงแล้ว","ยังไม่ถึง")</f>
        <v/>
      </c>
      <c r="K14" s="9">
        <f>COUNTIFS(Frontend!$B$2:$B$180,$B14,Frontend!$D$2:$D$180,"P0")</f>
        <v/>
      </c>
      <c r="L14" s="9">
        <f>COUNTIFS(Frontend!$B$2:$B$180,$B14,Frontend!$D$2:$D$180,"P0",Frontend!$I$2:$I$180,"ผ่าน")</f>
        <v/>
      </c>
    </row>
    <row r="15">
      <c r="A15" s="9" t="inlineStr">
        <is>
          <t>Frontend</t>
        </is>
      </c>
      <c r="B15" s="9" t="inlineStr">
        <is>
          <t>FE-SPOT</t>
        </is>
      </c>
      <c r="C15" s="9" t="inlineStr">
        <is>
          <t>Spotlight (HP-11 · task 0.47–0.51)</t>
        </is>
      </c>
      <c r="D15" s="9">
        <f>COUNTIFS(Frontend!$B$2:$B$180,$B15)</f>
        <v/>
      </c>
      <c r="E15" s="9">
        <f>COUNTIFS(Frontend!$B$2:$B$180,$B15,Frontend!$I$2:$I$180,"ผ่าน")</f>
        <v/>
      </c>
      <c r="F15" s="9">
        <f>COUNTIFS(Frontend!$B$2:$B$180,$B15,Frontend!$I$2:$I$180,"ไม่ผ่าน")</f>
        <v/>
      </c>
      <c r="G15" s="9">
        <f>COUNTIFS(Frontend!$B$2:$B$180,$B15,Frontend!$I$2:$I$180,"Blocked")</f>
        <v/>
      </c>
      <c r="H15" s="9">
        <f>COUNTIFS(Frontend!$B$2:$B$180,$B15,Frontend!$I$2:$I$180,"ยังไม่ทดสอบ")</f>
        <v/>
      </c>
      <c r="I15" s="10">
        <f>IF(D15=0,0,E15/D15)</f>
        <v/>
      </c>
      <c r="J15" s="9">
        <f>IF(I15&gt;=0.8,"ถึงแล้ว","ยังไม่ถึง")</f>
        <v/>
      </c>
      <c r="K15" s="9">
        <f>COUNTIFS(Frontend!$B$2:$B$180,$B15,Frontend!$D$2:$D$180,"P0")</f>
        <v/>
      </c>
      <c r="L15" s="9">
        <f>COUNTIFS(Frontend!$B$2:$B$180,$B15,Frontend!$D$2:$D$180,"P0",Frontend!$I$2:$I$180,"ผ่าน")</f>
        <v/>
      </c>
    </row>
    <row r="16">
      <c r="A16" s="9" t="inlineStr">
        <is>
          <t>Frontend</t>
        </is>
      </c>
      <c r="B16" s="9" t="inlineStr">
        <is>
          <t>FE-EDGE</t>
        </is>
      </c>
      <c r="C16" s="9" t="inlineStr">
        <is>
          <t>หน้า desktop only / Safari (EC-01, EC-02)</t>
        </is>
      </c>
      <c r="D16" s="9">
        <f>COUNTIFS(Frontend!$B$2:$B$180,$B16)</f>
        <v/>
      </c>
      <c r="E16" s="9">
        <f>COUNTIFS(Frontend!$B$2:$B$180,$B16,Frontend!$I$2:$I$180,"ผ่าน")</f>
        <v/>
      </c>
      <c r="F16" s="9">
        <f>COUNTIFS(Frontend!$B$2:$B$180,$B16,Frontend!$I$2:$I$180,"ไม่ผ่าน")</f>
        <v/>
      </c>
      <c r="G16" s="9">
        <f>COUNTIFS(Frontend!$B$2:$B$180,$B16,Frontend!$I$2:$I$180,"Blocked")</f>
        <v/>
      </c>
      <c r="H16" s="9">
        <f>COUNTIFS(Frontend!$B$2:$B$180,$B16,Frontend!$I$2:$I$180,"ยังไม่ทดสอบ")</f>
        <v/>
      </c>
      <c r="I16" s="10">
        <f>IF(D16=0,0,E16/D16)</f>
        <v/>
      </c>
      <c r="J16" s="9">
        <f>IF(I16&gt;=0.8,"ถึงแล้ว","ยังไม่ถึง")</f>
        <v/>
      </c>
      <c r="K16" s="9">
        <f>COUNTIFS(Frontend!$B$2:$B$180,$B16,Frontend!$D$2:$D$180,"P0")</f>
        <v/>
      </c>
      <c r="L16" s="9">
        <f>COUNTIFS(Frontend!$B$2:$B$180,$B16,Frontend!$D$2:$D$180,"P0",Frontend!$I$2:$I$180,"ผ่าน")</f>
        <v/>
      </c>
    </row>
    <row r="17">
      <c r="A17" s="9" t="inlineStr">
        <is>
          <t>Frontend</t>
        </is>
      </c>
      <c r="B17" s="9" t="inlineStr">
        <is>
          <t>FE-STORE</t>
        </is>
      </c>
      <c r="C17" s="9" t="inlineStr">
        <is>
          <t>ก่อนส่ง store</t>
        </is>
      </c>
      <c r="D17" s="9">
        <f>COUNTIFS(Frontend!$B$2:$B$180,$B17)</f>
        <v/>
      </c>
      <c r="E17" s="9">
        <f>COUNTIFS(Frontend!$B$2:$B$180,$B17,Frontend!$I$2:$I$180,"ผ่าน")</f>
        <v/>
      </c>
      <c r="F17" s="9">
        <f>COUNTIFS(Frontend!$B$2:$B$180,$B17,Frontend!$I$2:$I$180,"ไม่ผ่าน")</f>
        <v/>
      </c>
      <c r="G17" s="9">
        <f>COUNTIFS(Frontend!$B$2:$B$180,$B17,Frontend!$I$2:$I$180,"Blocked")</f>
        <v/>
      </c>
      <c r="H17" s="9">
        <f>COUNTIFS(Frontend!$B$2:$B$180,$B17,Frontend!$I$2:$I$180,"ยังไม่ทดสอบ")</f>
        <v/>
      </c>
      <c r="I17" s="10">
        <f>IF(D17=0,0,E17/D17)</f>
        <v/>
      </c>
      <c r="J17" s="9">
        <f>IF(I17&gt;=0.8,"ถึงแล้ว","ยังไม่ถึง")</f>
        <v/>
      </c>
      <c r="K17" s="9">
        <f>COUNTIFS(Frontend!$B$2:$B$180,$B17,Frontend!$D$2:$D$180,"P0")</f>
        <v/>
      </c>
      <c r="L17" s="9">
        <f>COUNTIFS(Frontend!$B$2:$B$180,$B17,Frontend!$D$2:$D$180,"P0",Frontend!$I$2:$I$180,"ผ่าน")</f>
        <v/>
      </c>
    </row>
    <row r="18">
      <c r="A18" s="9" t="inlineStr">
        <is>
          <t>Backend</t>
        </is>
      </c>
      <c r="B18" s="9" t="inlineStr">
        <is>
          <t>BE-AUTH</t>
        </is>
      </c>
      <c r="C18" s="9" t="inlineStr">
        <is>
          <t>login (zyra-api · task 1.4, 1.5)</t>
        </is>
      </c>
      <c r="D18" s="9">
        <f>COUNTIFS(Backend!$B$2:$B$54,$B18)</f>
        <v/>
      </c>
      <c r="E18" s="9">
        <f>COUNTIFS(Backend!$B$2:$B$54,$B18,Backend!$I$2:$I$54,"ผ่าน")</f>
        <v/>
      </c>
      <c r="F18" s="9">
        <f>COUNTIFS(Backend!$B$2:$B$54,$B18,Backend!$I$2:$I$54,"ไม่ผ่าน")</f>
        <v/>
      </c>
      <c r="G18" s="9">
        <f>COUNTIFS(Backend!$B$2:$B$54,$B18,Backend!$I$2:$I$54,"Blocked")</f>
        <v/>
      </c>
      <c r="H18" s="9">
        <f>COUNTIFS(Backend!$B$2:$B$54,$B18,Backend!$I$2:$I$54,"ยังไม่ทดสอบ")</f>
        <v/>
      </c>
      <c r="I18" s="10">
        <f>IF(D18=0,0,E18/D18)</f>
        <v/>
      </c>
      <c r="J18" s="9">
        <f>IF(I18&gt;=0.8,"ถึงแล้ว","ยังไม่ถึง")</f>
        <v/>
      </c>
      <c r="K18" s="9">
        <f>COUNTIFS(Backend!$B$2:$B$54,$B18,Backend!$D$2:$D$54,"P0")</f>
        <v/>
      </c>
      <c r="L18" s="9">
        <f>COUNTIFS(Backend!$B$2:$B$54,$B18,Backend!$D$2:$D$54,"P0",Backend!$I$2:$I$54,"ผ่าน")</f>
        <v/>
      </c>
    </row>
    <row r="19">
      <c r="A19" s="9" t="inlineStr">
        <is>
          <t>Backend</t>
        </is>
      </c>
      <c r="B19" s="9" t="inlineStr">
        <is>
          <t>BE-DEV</t>
        </is>
      </c>
      <c r="C19" s="9" t="inlineStr">
        <is>
          <t>device token (zyra-api · task 2.1)</t>
        </is>
      </c>
      <c r="D19" s="9">
        <f>COUNTIFS(Backend!$B$2:$B$54,$B19)</f>
        <v/>
      </c>
      <c r="E19" s="9">
        <f>COUNTIFS(Backend!$B$2:$B$54,$B19,Backend!$I$2:$I$54,"ผ่าน")</f>
        <v/>
      </c>
      <c r="F19" s="9">
        <f>COUNTIFS(Backend!$B$2:$B$54,$B19,Backend!$I$2:$I$54,"ไม่ผ่าน")</f>
        <v/>
      </c>
      <c r="G19" s="9">
        <f>COUNTIFS(Backend!$B$2:$B$54,$B19,Backend!$I$2:$I$54,"Blocked")</f>
        <v/>
      </c>
      <c r="H19" s="9">
        <f>COUNTIFS(Backend!$B$2:$B$54,$B19,Backend!$I$2:$I$54,"ยังไม่ทดสอบ")</f>
        <v/>
      </c>
      <c r="I19" s="10">
        <f>IF(D19=0,0,E19/D19)</f>
        <v/>
      </c>
      <c r="J19" s="9">
        <f>IF(I19&gt;=0.8,"ถึงแล้ว","ยังไม่ถึง")</f>
        <v/>
      </c>
      <c r="K19" s="9">
        <f>COUNTIFS(Backend!$B$2:$B$54,$B19,Backend!$D$2:$D$54,"P0")</f>
        <v/>
      </c>
      <c r="L19" s="9">
        <f>COUNTIFS(Backend!$B$2:$B$54,$B19,Backend!$D$2:$D$54,"P0",Backend!$I$2:$I$54,"ผ่าน")</f>
        <v/>
      </c>
    </row>
    <row r="20">
      <c r="A20" s="9" t="inlineStr">
        <is>
          <t>Backend</t>
        </is>
      </c>
      <c r="B20" s="9" t="inlineStr">
        <is>
          <t>BE-PUSH</t>
        </is>
      </c>
      <c r="C20" s="9" t="inlineStr">
        <is>
          <t>ส่ง push (zyra-notifications, zyra-ws · task 2.2–2.6)</t>
        </is>
      </c>
      <c r="D20" s="9">
        <f>COUNTIFS(Backend!$B$2:$B$54,$B20)</f>
        <v/>
      </c>
      <c r="E20" s="9">
        <f>COUNTIFS(Backend!$B$2:$B$54,$B20,Backend!$I$2:$I$54,"ผ่าน")</f>
        <v/>
      </c>
      <c r="F20" s="9">
        <f>COUNTIFS(Backend!$B$2:$B$54,$B20,Backend!$I$2:$I$54,"ไม่ผ่าน")</f>
        <v/>
      </c>
      <c r="G20" s="9">
        <f>COUNTIFS(Backend!$B$2:$B$54,$B20,Backend!$I$2:$I$54,"Blocked")</f>
        <v/>
      </c>
      <c r="H20" s="9">
        <f>COUNTIFS(Backend!$B$2:$B$54,$B20,Backend!$I$2:$I$54,"ยังไม่ทดสอบ")</f>
        <v/>
      </c>
      <c r="I20" s="10">
        <f>IF(D20=0,0,E20/D20)</f>
        <v/>
      </c>
      <c r="J20" s="9">
        <f>IF(I20&gt;=0.8,"ถึงแล้ว","ยังไม่ถึง")</f>
        <v/>
      </c>
      <c r="K20" s="9">
        <f>COUNTIFS(Backend!$B$2:$B$54,$B20,Backend!$D$2:$D$54,"P0")</f>
        <v/>
      </c>
      <c r="L20" s="9">
        <f>COUNTIFS(Backend!$B$2:$B$54,$B20,Backend!$D$2:$D$54,"P0",Backend!$I$2:$I$54,"ผ่าน")</f>
        <v/>
      </c>
    </row>
    <row r="21">
      <c r="A21" s="9" t="inlineStr">
        <is>
          <t>Backend</t>
        </is>
      </c>
      <c r="B21" s="9" t="inlineStr">
        <is>
          <t>BE-WS</t>
        </is>
      </c>
      <c r="C21" s="9" t="inlineStr">
        <is>
          <t>WebSocket โหมด Lite / meeting / reconnect (zyra-ws · task 0.16, 0.19, 0.48)</t>
        </is>
      </c>
      <c r="D21" s="9">
        <f>COUNTIFS(Backend!$B$2:$B$54,$B21)</f>
        <v/>
      </c>
      <c r="E21" s="9">
        <f>COUNTIFS(Backend!$B$2:$B$54,$B21,Backend!$I$2:$I$54,"ผ่าน")</f>
        <v/>
      </c>
      <c r="F21" s="9">
        <f>COUNTIFS(Backend!$B$2:$B$54,$B21,Backend!$I$2:$I$54,"ไม่ผ่าน")</f>
        <v/>
      </c>
      <c r="G21" s="9">
        <f>COUNTIFS(Backend!$B$2:$B$54,$B21,Backend!$I$2:$I$54,"Blocked")</f>
        <v/>
      </c>
      <c r="H21" s="9">
        <f>COUNTIFS(Backend!$B$2:$B$54,$B21,Backend!$I$2:$I$54,"ยังไม่ทดสอบ")</f>
        <v/>
      </c>
      <c r="I21" s="10">
        <f>IF(D21=0,0,E21/D21)</f>
        <v/>
      </c>
      <c r="J21" s="9">
        <f>IF(I21&gt;=0.8,"ถึงแล้ว","ยังไม่ถึง")</f>
        <v/>
      </c>
      <c r="K21" s="9">
        <f>COUNTIFS(Backend!$B$2:$B$54,$B21,Backend!$D$2:$D$54,"P0")</f>
        <v/>
      </c>
      <c r="L21" s="9">
        <f>COUNTIFS(Backend!$B$2:$B$54,$B21,Backend!$D$2:$D$54,"P0",Backend!$I$2:$I$54,"ผ่าน")</f>
        <v/>
      </c>
    </row>
    <row r="22">
      <c r="A22" s="9" t="inlineStr">
        <is>
          <t>Backend</t>
        </is>
      </c>
      <c r="B22" s="9" t="inlineStr">
        <is>
          <t>BE-CHAT</t>
        </is>
      </c>
      <c r="C22" s="9" t="inlineStr">
        <is>
          <t>แชท (zyra-api, zyra-ws · task 0.25, 0.27, 0.37)</t>
        </is>
      </c>
      <c r="D22" s="9">
        <f>COUNTIFS(Backend!$B$2:$B$54,$B22)</f>
        <v/>
      </c>
      <c r="E22" s="9">
        <f>COUNTIFS(Backend!$B$2:$B$54,$B22,Backend!$I$2:$I$54,"ผ่าน")</f>
        <v/>
      </c>
      <c r="F22" s="9">
        <f>COUNTIFS(Backend!$B$2:$B$54,$B22,Backend!$I$2:$I$54,"ไม่ผ่าน")</f>
        <v/>
      </c>
      <c r="G22" s="9">
        <f>COUNTIFS(Backend!$B$2:$B$54,$B22,Backend!$I$2:$I$54,"Blocked")</f>
        <v/>
      </c>
      <c r="H22" s="9">
        <f>COUNTIFS(Backend!$B$2:$B$54,$B22,Backend!$I$2:$I$54,"ยังไม่ทดสอบ")</f>
        <v/>
      </c>
      <c r="I22" s="10">
        <f>IF(D22=0,0,E22/D22)</f>
        <v/>
      </c>
      <c r="J22" s="9">
        <f>IF(I22&gt;=0.8,"ถึงแล้ว","ยังไม่ถึง")</f>
        <v/>
      </c>
      <c r="K22" s="9">
        <f>COUNTIFS(Backend!$B$2:$B$54,$B22,Backend!$D$2:$D$54,"P0")</f>
        <v/>
      </c>
      <c r="L22" s="9">
        <f>COUNTIFS(Backend!$B$2:$B$54,$B22,Backend!$D$2:$D$54,"P0",Backend!$I$2:$I$54,"ผ่าน")</f>
        <v/>
      </c>
    </row>
    <row r="23">
      <c r="A23" s="9" t="inlineStr">
        <is>
          <t>Backend</t>
        </is>
      </c>
      <c r="B23" s="9" t="inlineStr">
        <is>
          <t>BE-API</t>
        </is>
      </c>
      <c r="C23" s="9" t="inlineStr">
        <is>
          <t>ทั่วไป</t>
        </is>
      </c>
      <c r="D23" s="9">
        <f>COUNTIFS(Backend!$B$2:$B$54,$B23)</f>
        <v/>
      </c>
      <c r="E23" s="9">
        <f>COUNTIFS(Backend!$B$2:$B$54,$B23,Backend!$I$2:$I$54,"ผ่าน")</f>
        <v/>
      </c>
      <c r="F23" s="9">
        <f>COUNTIFS(Backend!$B$2:$B$54,$B23,Backend!$I$2:$I$54,"ไม่ผ่าน")</f>
        <v/>
      </c>
      <c r="G23" s="9">
        <f>COUNTIFS(Backend!$B$2:$B$54,$B23,Backend!$I$2:$I$54,"Blocked")</f>
        <v/>
      </c>
      <c r="H23" s="9">
        <f>COUNTIFS(Backend!$B$2:$B$54,$B23,Backend!$I$2:$I$54,"ยังไม่ทดสอบ")</f>
        <v/>
      </c>
      <c r="I23" s="10">
        <f>IF(D23=0,0,E23/D23)</f>
        <v/>
      </c>
      <c r="J23" s="9">
        <f>IF(I23&gt;=0.8,"ถึงแล้ว","ยังไม่ถึง")</f>
        <v/>
      </c>
      <c r="K23" s="9">
        <f>COUNTIFS(Backend!$B$2:$B$54,$B23,Backend!$D$2:$D$54,"P0")</f>
        <v/>
      </c>
      <c r="L23" s="9">
        <f>COUNTIFS(Backend!$B$2:$B$54,$B23,Backend!$D$2:$D$54,"P0",Backend!$I$2:$I$54,"ผ่าน")</f>
        <v/>
      </c>
    </row>
    <row r="24">
      <c r="A24" s="2" t="inlineStr">
        <is>
          <t>รวม</t>
        </is>
      </c>
      <c r="D24" s="11">
        <f>SUM(D4:D23)</f>
        <v/>
      </c>
      <c r="E24" s="11">
        <f>SUM(E4:E23)</f>
        <v/>
      </c>
      <c r="F24" s="11">
        <f>SUM(F4:F23)</f>
        <v/>
      </c>
      <c r="G24" s="11">
        <f>SUM(G4:G23)</f>
        <v/>
      </c>
      <c r="H24" s="11">
        <f>SUM(H4:H23)</f>
        <v/>
      </c>
      <c r="I24" s="12">
        <f>IF(D24=0,0,E24/D24)</f>
        <v/>
      </c>
      <c r="J24" s="11">
        <f>IF(I24&gt;=0.8,"ถึงแล้ว","ยังไม่ถึง")</f>
        <v/>
      </c>
      <c r="K24" s="11">
        <f>SUM(K4:K23)</f>
        <v/>
      </c>
      <c r="L24" s="11">
        <f>SUM(L4:L23)</f>
        <v/>
      </c>
    </row>
    <row r="26">
      <c r="A26" s="13" t="inlineStr">
        <is>
          <t>หมายเหตุ: % ผ่าน = ผ่าน ÷ ทั้งหมด ของกลุ่ม · เกณฑ์ 80% มาจากกฎทีม "ก่อนปรับ Comp ต้องเทสอย่างน้อย 80%" (Comp = Completed ใน ClickUp)</t>
        </is>
      </c>
    </row>
  </sheetData>
  <conditionalFormatting sqref="J4">
    <cfRule type="expression" priority="1" dxfId="0">
      <formula>$J4="ถึงแล้ว"</formula>
    </cfRule>
  </conditionalFormatting>
  <conditionalFormatting sqref="J5">
    <cfRule type="expression" priority="2" dxfId="0">
      <formula>$J5="ถึงแล้ว"</formula>
    </cfRule>
  </conditionalFormatting>
  <conditionalFormatting sqref="J6">
    <cfRule type="expression" priority="3" dxfId="0">
      <formula>$J6="ถึงแล้ว"</formula>
    </cfRule>
  </conditionalFormatting>
  <conditionalFormatting sqref="J7">
    <cfRule type="expression" priority="4" dxfId="0">
      <formula>$J7="ถึงแล้ว"</formula>
    </cfRule>
  </conditionalFormatting>
  <conditionalFormatting sqref="J8">
    <cfRule type="expression" priority="5" dxfId="0">
      <formula>$J8="ถึงแล้ว"</formula>
    </cfRule>
  </conditionalFormatting>
  <conditionalFormatting sqref="J9">
    <cfRule type="expression" priority="6" dxfId="0">
      <formula>$J9="ถึงแล้ว"</formula>
    </cfRule>
  </conditionalFormatting>
  <conditionalFormatting sqref="J10">
    <cfRule type="expression" priority="7" dxfId="0">
      <formula>$J10="ถึงแล้ว"</formula>
    </cfRule>
  </conditionalFormatting>
  <conditionalFormatting sqref="J11">
    <cfRule type="expression" priority="8" dxfId="0">
      <formula>$J11="ถึงแล้ว"</formula>
    </cfRule>
  </conditionalFormatting>
  <conditionalFormatting sqref="J12">
    <cfRule type="expression" priority="9" dxfId="0">
      <formula>$J12="ถึงแล้ว"</formula>
    </cfRule>
  </conditionalFormatting>
  <conditionalFormatting sqref="J13">
    <cfRule type="expression" priority="10" dxfId="0">
      <formula>$J13="ถึงแล้ว"</formula>
    </cfRule>
  </conditionalFormatting>
  <conditionalFormatting sqref="J14">
    <cfRule type="expression" priority="11" dxfId="0">
      <formula>$J14="ถึงแล้ว"</formula>
    </cfRule>
  </conditionalFormatting>
  <conditionalFormatting sqref="J15">
    <cfRule type="expression" priority="12" dxfId="0">
      <formula>$J15="ถึงแล้ว"</formula>
    </cfRule>
  </conditionalFormatting>
  <conditionalFormatting sqref="J16">
    <cfRule type="expression" priority="13" dxfId="0">
      <formula>$J16="ถึงแล้ว"</formula>
    </cfRule>
  </conditionalFormatting>
  <conditionalFormatting sqref="J17">
    <cfRule type="expression" priority="14" dxfId="0">
      <formula>$J17="ถึงแล้ว"</formula>
    </cfRule>
  </conditionalFormatting>
  <conditionalFormatting sqref="J18">
    <cfRule type="expression" priority="15" dxfId="0">
      <formula>$J18="ถึงแล้ว"</formula>
    </cfRule>
  </conditionalFormatting>
  <conditionalFormatting sqref="J19">
    <cfRule type="expression" priority="16" dxfId="0">
      <formula>$J19="ถึงแล้ว"</formula>
    </cfRule>
  </conditionalFormatting>
  <conditionalFormatting sqref="J20">
    <cfRule type="expression" priority="17" dxfId="0">
      <formula>$J20="ถึงแล้ว"</formula>
    </cfRule>
  </conditionalFormatting>
  <conditionalFormatting sqref="J21">
    <cfRule type="expression" priority="18" dxfId="0">
      <formula>$J21="ถึงแล้ว"</formula>
    </cfRule>
  </conditionalFormatting>
  <conditionalFormatting sqref="J22">
    <cfRule type="expression" priority="19" dxfId="0">
      <formula>$J22="ถึงแล้ว"</formula>
    </cfRule>
  </conditionalFormatting>
  <conditionalFormatting sqref="J23">
    <cfRule type="expression" priority="20" dxfId="0">
      <formula>$J23="ถึงแล้ว"</formula>
    </cfRule>
  </conditionalFormatting>
  <conditionalFormatting sqref="J24">
    <cfRule type="expression" priority="21" dxfId="0">
      <formula>$J24="ถึงแล้ว"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8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26" customWidth="1" min="3" max="3"/>
    <col width="9" customWidth="1" min="4" max="4"/>
    <col width="34" customWidth="1" min="5" max="5"/>
    <col width="46" customWidth="1" min="6" max="6"/>
    <col width="56" customWidth="1" min="7" max="7"/>
    <col width="22" customWidth="1" min="8" max="8"/>
    <col width="13" customWidth="1" min="9" max="9"/>
    <col width="18" customWidth="1" min="10" max="10"/>
    <col width="14" customWidth="1" min="11" max="11"/>
    <col width="13" customWidth="1" min="12" max="12"/>
    <col width="22" customWidth="1" min="13" max="13"/>
    <col width="22" customWidth="1" min="14" max="14"/>
    <col width="30" customWidth="1" min="15" max="15"/>
  </cols>
  <sheetData>
    <row r="1" ht="30" customHeight="1">
      <c r="A1" s="8" t="inlineStr">
        <is>
          <t>ID</t>
        </is>
      </c>
      <c r="B1" s="8" t="inlineStr">
        <is>
          <t>กลุ่ม</t>
        </is>
      </c>
      <c r="C1" s="8" t="inlineStr">
        <is>
          <t>หัวข้อกลุ่ม</t>
        </is>
      </c>
      <c r="D1" s="8" t="inlineStr">
        <is>
          <t>Priority</t>
        </is>
      </c>
      <c r="E1" s="8" t="inlineStr">
        <is>
          <t>กรณี</t>
        </is>
      </c>
      <c r="F1" s="8" t="inlineStr">
        <is>
          <t>ขั้นตอน</t>
        </is>
      </c>
      <c r="G1" s="8" t="inlineStr">
        <is>
          <t>ผลที่คาด</t>
        </is>
      </c>
      <c r="H1" s="8" t="inlineStr">
        <is>
          <t>อ้างอิง</t>
        </is>
      </c>
      <c r="I1" s="8" t="inlineStr">
        <is>
          <t>สถานะ</t>
        </is>
      </c>
      <c r="J1" s="8" t="inlineStr">
        <is>
          <t>เหตุที่ blocked</t>
        </is>
      </c>
      <c r="K1" s="8" t="inlineStr">
        <is>
          <t>ผู้ทดสอบ</t>
        </is>
      </c>
      <c r="L1" s="8" t="inlineStr">
        <is>
          <t>วันที่ทดสอบ</t>
        </is>
      </c>
      <c r="M1" s="8" t="inlineStr">
        <is>
          <t>เครื่อง / ช่องทาง</t>
        </is>
      </c>
      <c r="N1" s="8" t="inlineStr">
        <is>
          <t>ลิงก์ bug</t>
        </is>
      </c>
      <c r="O1" s="8" t="inlineStr">
        <is>
          <t>หมายเหตุ</t>
        </is>
      </c>
    </row>
    <row r="2">
      <c r="A2" s="14" t="inlineStr">
        <is>
          <t>FE-ENV-01</t>
        </is>
      </c>
      <c r="B2" s="14" t="inlineStr">
        <is>
          <t>FE-ENV</t>
        </is>
      </c>
      <c r="C2" s="14" t="inlineStr">
        <is>
          <t>ตัวตัดสิน UI มือถือ และขนาดจอ (EC-03 · task 0.41–0.44, 1.16)</t>
        </is>
      </c>
      <c r="D2" s="14" t="inlineStr">
        <is>
          <t>P0</t>
        </is>
      </c>
      <c r="E2" s="14" t="inlineStr">
        <is>
          <t>แอปบนมือถือและ tablet ใช้ UI มือถือเสมอ</t>
        </is>
      </c>
      <c r="F2" s="14" t="inlineStr">
        <is>
          <t>เปิดแอปบน iPhone, Android, iPad</t>
        </is>
      </c>
      <c r="G2" s="14" t="inlineStr">
        <is>
          <t>ได้หน้า Select workspace mode / Lite / Spatial ไม่ใช่หน้า desktop</t>
        </is>
      </c>
      <c r="H2" s="14" t="inlineStr">
        <is>
          <t>§17.6</t>
        </is>
      </c>
      <c r="I2" s="15" t="inlineStr">
        <is>
          <t>ยังไม่ทดสอบ</t>
        </is>
      </c>
      <c r="J2" s="14" t="inlineStr"/>
      <c r="K2" s="15" t="inlineStr"/>
      <c r="L2" s="16" t="inlineStr"/>
      <c r="M2" s="15" t="inlineStr"/>
      <c r="N2" s="15" t="inlineStr"/>
      <c r="O2" s="15" t="inlineStr"/>
    </row>
    <row r="3">
      <c r="A3" s="14" t="inlineStr">
        <is>
          <t>FE-ENV-02</t>
        </is>
      </c>
      <c r="B3" s="14" t="inlineStr">
        <is>
          <t>FE-ENV</t>
        </is>
      </c>
      <c r="C3" s="14" t="inlineStr">
        <is>
          <t>ตัวตัดสิน UI มือถือ และขนาดจอ (EC-03 · task 0.41–0.44, 1.16)</t>
        </is>
      </c>
      <c r="D3" s="14" t="inlineStr">
        <is>
          <t>P0</t>
        </is>
      </c>
      <c r="E3" s="14" t="inlineStr">
        <is>
          <t>เว็บบนจอสัมผัส ด้านยาว ≤ 1366</t>
        </is>
      </c>
      <c r="F3" s="14" t="inlineStr">
        <is>
          <t>เปิดเว็บใน Safari iPad Pro, Chrome Android</t>
        </is>
      </c>
      <c r="G3" s="14" t="inlineStr">
        <is>
          <t>ได้ UI มือถือ</t>
        </is>
      </c>
      <c r="H3" s="14" t="inlineStr">
        <is>
          <t>§17.6</t>
        </is>
      </c>
      <c r="I3" s="15" t="inlineStr">
        <is>
          <t>ยังไม่ทดสอบ</t>
        </is>
      </c>
      <c r="J3" s="14" t="inlineStr"/>
      <c r="K3" s="15" t="inlineStr"/>
      <c r="L3" s="16" t="inlineStr"/>
      <c r="M3" s="15" t="inlineStr"/>
      <c r="N3" s="15" t="inlineStr"/>
      <c r="O3" s="15" t="inlineStr"/>
    </row>
    <row r="4">
      <c r="A4" s="14" t="inlineStr">
        <is>
          <t>FE-ENV-03</t>
        </is>
      </c>
      <c r="B4" s="14" t="inlineStr">
        <is>
          <t>FE-ENV</t>
        </is>
      </c>
      <c r="C4" s="14" t="inlineStr">
        <is>
          <t>ตัวตัดสิน UI มือถือ และขนาดจอ (EC-03 · task 0.41–0.44, 1.16)</t>
        </is>
      </c>
      <c r="D4" s="14" t="inlineStr">
        <is>
          <t>P1</t>
        </is>
      </c>
      <c r="E4" s="14" t="inlineStr">
        <is>
          <t>iPad + trackpad บนเว็บ</t>
        </is>
      </c>
      <c r="F4" s="14" t="inlineStr">
        <is>
          <t>ต่อ Magic Keyboard แล้วเปิดเว็บ</t>
        </is>
      </c>
      <c r="G4" s="14" t="inlineStr">
        <is>
          <t>ยังเป็น UI มือถือ</t>
        </is>
      </c>
      <c r="H4" s="14" t="inlineStr">
        <is>
          <t>§17.7 ข้อ 2</t>
        </is>
      </c>
      <c r="I4" s="15" t="inlineStr">
        <is>
          <t>ยังไม่ทดสอบ</t>
        </is>
      </c>
      <c r="J4" s="14" t="inlineStr"/>
      <c r="K4" s="15" t="inlineStr"/>
      <c r="L4" s="16" t="inlineStr"/>
      <c r="M4" s="15" t="inlineStr"/>
      <c r="N4" s="15" t="inlineStr"/>
      <c r="O4" s="15" t="inlineStr"/>
    </row>
    <row r="5">
      <c r="A5" s="14" t="inlineStr">
        <is>
          <t>FE-ENV-04</t>
        </is>
      </c>
      <c r="B5" s="14" t="inlineStr">
        <is>
          <t>FE-ENV</t>
        </is>
      </c>
      <c r="C5" s="14" t="inlineStr">
        <is>
          <t>ตัวตัดสิน UI มือถือ และขนาดจอ (EC-03 · task 0.41–0.44, 1.16)</t>
        </is>
      </c>
      <c r="D5" s="14" t="inlineStr">
        <is>
          <t>P1</t>
        </is>
      </c>
      <c r="E5" s="14" t="inlineStr">
        <is>
          <t>laptop จอสัมผัสด้านยาว &gt; 1366</t>
        </is>
      </c>
      <c r="F5" s="14" t="inlineStr">
        <is>
          <t>เปิดเว็บบน laptop จอสัมผัส (หน้าต่างแนวนอน กว้าง ≥ 768)</t>
        </is>
      </c>
      <c r="G5" s="14" t="inlineStr">
        <is>
          <t>ได้หน้า desktop เดิม (ถ้าย่อเป็นแนวตั้งจะเป็น UI มือถือตาม FE-ENV-14)</t>
        </is>
      </c>
      <c r="H5" s="14" t="inlineStr">
        <is>
          <t>§17.6</t>
        </is>
      </c>
      <c r="I5" s="15" t="inlineStr">
        <is>
          <t>ยังไม่ทดสอบ</t>
        </is>
      </c>
      <c r="J5" s="14" t="inlineStr"/>
      <c r="K5" s="15" t="inlineStr"/>
      <c r="L5" s="16" t="inlineStr"/>
      <c r="M5" s="15" t="inlineStr"/>
      <c r="N5" s="15" t="inlineStr"/>
      <c r="O5" s="15" t="inlineStr"/>
    </row>
    <row r="6">
      <c r="A6" s="14" t="inlineStr">
        <is>
          <t>FE-ENV-05</t>
        </is>
      </c>
      <c r="B6" s="14" t="inlineStr">
        <is>
          <t>FE-ENV</t>
        </is>
      </c>
      <c r="C6" s="14" t="inlineStr">
        <is>
          <t>ตัวตัดสิน UI มือถือ และขนาดจอ (EC-03 · task 0.41–0.44, 1.16)</t>
        </is>
      </c>
      <c r="D6" s="14" t="inlineStr">
        <is>
          <t>P1</t>
        </is>
      </c>
      <c r="E6" s="14" t="inlineStr">
        <is>
          <t>tablet scale</t>
        </is>
      </c>
      <c r="F6" s="14" t="inlineStr">
        <is>
          <t>iPad (ด้านสั้น ≥ 744)</t>
        </is>
      </c>
      <c r="G6" s="14" t="inlineStr">
        <is>
          <t>ขอบซ้ายขวา 24 · ปุ่มกลมขวาบน Spatial และปุ่ม Chat = 44</t>
        </is>
      </c>
      <c r="H6" s="14" t="inlineStr">
        <is>
          <t>§17.6</t>
        </is>
      </c>
      <c r="I6" s="15" t="inlineStr">
        <is>
          <t>ยังไม่ทดสอบ</t>
        </is>
      </c>
      <c r="J6" s="14" t="inlineStr"/>
      <c r="K6" s="15" t="inlineStr"/>
      <c r="L6" s="16" t="inlineStr"/>
      <c r="M6" s="15" t="inlineStr"/>
      <c r="N6" s="15" t="inlineStr"/>
      <c r="O6" s="15" t="inlineStr"/>
    </row>
    <row r="7">
      <c r="A7" s="14" t="inlineStr">
        <is>
          <t>FE-ENV-06</t>
        </is>
      </c>
      <c r="B7" s="14" t="inlineStr">
        <is>
          <t>FE-ENV</t>
        </is>
      </c>
      <c r="C7" s="14" t="inlineStr">
        <is>
          <t>ตัวตัดสิน UI มือถือ และขนาดจอ (EC-03 · task 0.41–0.44, 1.16)</t>
        </is>
      </c>
      <c r="D7" s="14" t="inlineStr">
        <is>
          <t>P1</t>
        </is>
      </c>
      <c r="E7" s="14" t="inlineStr">
        <is>
          <t>phone scale</t>
        </is>
      </c>
      <c r="F7" s="14" t="inlineStr">
        <is>
          <t>iPhone 390 / 430</t>
        </is>
      </c>
      <c r="G7" s="14" t="inlineStr">
        <is>
          <t>ขอบ 16 · ปุ่มกลม 32</t>
        </is>
      </c>
      <c r="H7" s="14" t="inlineStr">
        <is>
          <t>§17.2</t>
        </is>
      </c>
      <c r="I7" s="15" t="inlineStr">
        <is>
          <t>ยังไม่ทดสอบ</t>
        </is>
      </c>
      <c r="J7" s="14" t="inlineStr"/>
      <c r="K7" s="15" t="inlineStr"/>
      <c r="L7" s="16" t="inlineStr"/>
      <c r="M7" s="15" t="inlineStr"/>
      <c r="N7" s="15" t="inlineStr"/>
      <c r="O7" s="15" t="inlineStr"/>
    </row>
    <row r="8">
      <c r="A8" s="14" t="inlineStr">
        <is>
          <t>FE-ENV-07</t>
        </is>
      </c>
      <c r="B8" s="14" t="inlineStr">
        <is>
          <t>FE-ENV</t>
        </is>
      </c>
      <c r="C8" s="14" t="inlineStr">
        <is>
          <t>ตัวตัดสิน UI มือถือ และขนาดจอ (EC-03 · task 0.41–0.44, 1.16)</t>
        </is>
      </c>
      <c r="D8" s="14" t="inlineStr">
        <is>
          <t>P1</t>
        </is>
      </c>
      <c r="E8" s="14" t="inlineStr">
        <is>
          <t>จอเล็ก 375×667</t>
        </is>
      </c>
      <c r="F8" s="14" t="inlineStr">
        <is>
          <t>ใช้ทุกหน้าหลักบน iPhone SE</t>
        </is>
      </c>
      <c r="G8" s="14" t="inlineStr">
        <is>
          <t>ไม่มีการเลื่อนซ้ายขวา · ข้อความยาวถูกตัดเป็น … · modal สูงไม่เกิน 90% ของจอและเลื่อนได้ · คีย์บอร์ดไม่บังช่องพิมพ์</t>
        </is>
      </c>
      <c r="H8" s="14" t="inlineStr">
        <is>
          <t>§17.6</t>
        </is>
      </c>
      <c r="I8" s="15" t="inlineStr">
        <is>
          <t>ยังไม่ทดสอบ</t>
        </is>
      </c>
      <c r="J8" s="14" t="inlineStr"/>
      <c r="K8" s="15" t="inlineStr"/>
      <c r="L8" s="16" t="inlineStr"/>
      <c r="M8" s="15" t="inlineStr"/>
      <c r="N8" s="15" t="inlineStr"/>
      <c r="O8" s="15" t="inlineStr"/>
    </row>
    <row r="9">
      <c r="A9" s="14" t="inlineStr">
        <is>
          <t>FE-ENV-08</t>
        </is>
      </c>
      <c r="B9" s="14" t="inlineStr">
        <is>
          <t>FE-ENV</t>
        </is>
      </c>
      <c r="C9" s="14" t="inlineStr">
        <is>
          <t>ตัวตัดสิน UI มือถือ และขนาดจอ (EC-03 · task 0.41–0.44, 1.16)</t>
        </is>
      </c>
      <c r="D9" s="14" t="inlineStr">
        <is>
          <t>P1</t>
        </is>
      </c>
      <c r="E9" s="14" t="inlineStr">
        <is>
          <t>Spatial บนจอเล็ก 667×375</t>
        </is>
      </c>
      <c r="F9" s="14" t="inlineStr">
        <is>
          <t>เข้า Spatial บน iPhone SE</t>
        </is>
      </c>
      <c r="G9" s="14" t="inlineStr">
        <is>
          <t>joystick, Meeting Menu, minimap ไม่ทับกัน</t>
        </is>
      </c>
      <c r="H9" s="14" t="inlineStr">
        <is>
          <t>§17.6</t>
        </is>
      </c>
      <c r="I9" s="15" t="inlineStr">
        <is>
          <t>ยังไม่ทดสอบ</t>
        </is>
      </c>
      <c r="J9" s="14" t="inlineStr"/>
      <c r="K9" s="15" t="inlineStr"/>
      <c r="L9" s="16" t="inlineStr"/>
      <c r="M9" s="15" t="inlineStr"/>
      <c r="N9" s="15" t="inlineStr"/>
      <c r="O9" s="15" t="inlineStr"/>
    </row>
    <row r="10">
      <c r="A10" s="14" t="inlineStr">
        <is>
          <t>FE-ENV-09</t>
        </is>
      </c>
      <c r="B10" s="14" t="inlineStr">
        <is>
          <t>FE-ENV</t>
        </is>
      </c>
      <c r="C10" s="14" t="inlineStr">
        <is>
          <t>ตัวตัดสิน UI มือถือ และขนาดจอ (EC-03 · task 0.41–0.44, 1.16)</t>
        </is>
      </c>
      <c r="D10" s="14" t="inlineStr">
        <is>
          <t>P1</t>
        </is>
      </c>
      <c r="E10" s="14" t="inlineStr">
        <is>
          <t>iPad Split View</t>
        </is>
      </c>
      <c r="F10" s="14" t="inlineStr">
        <is>
          <t>แบ่งจอครึ่งตอนเครื่องแนวนอน</t>
        </is>
      </c>
      <c r="G10" s="14" t="inlineStr">
        <is>
          <t>ระบบนับเป็นแนวตั้ง (ใช้ Lite / ขึ้นหน้า Rotate ถ้าอยู่ Spatial)</t>
        </is>
      </c>
      <c r="H10" s="14" t="inlineStr">
        <is>
          <t>§17.6</t>
        </is>
      </c>
      <c r="I10" s="15" t="inlineStr">
        <is>
          <t>ยังไม่ทดสอบ</t>
        </is>
      </c>
      <c r="J10" s="14" t="inlineStr"/>
      <c r="K10" s="15" t="inlineStr"/>
      <c r="L10" s="16" t="inlineStr"/>
      <c r="M10" s="15" t="inlineStr"/>
      <c r="N10" s="15" t="inlineStr"/>
      <c r="O10" s="15" t="inlineStr"/>
    </row>
    <row r="11">
      <c r="A11" s="14" t="inlineStr">
        <is>
          <t>FE-ENV-10</t>
        </is>
      </c>
      <c r="B11" s="14" t="inlineStr">
        <is>
          <t>FE-ENV</t>
        </is>
      </c>
      <c r="C11" s="14" t="inlineStr">
        <is>
          <t>ตัวตัดสิน UI มือถือ และขนาดจอ (EC-03 · task 0.41–0.44, 1.16)</t>
        </is>
      </c>
      <c r="D11" s="14" t="inlineStr">
        <is>
          <t>P1</t>
        </is>
      </c>
      <c r="E11" s="14" t="inlineStr">
        <is>
          <t>ปรับขนาด Split View ระหว่างใช้</t>
        </is>
      </c>
      <c r="F11" s="14" t="inlineStr">
        <is>
          <t>ลากเส้นแบ่งจอให้กว้าง/แคบ</t>
        </is>
      </c>
      <c r="G11" s="14" t="inlineStr">
        <is>
          <t>layout และ tablet scale ปรับตามทันที ไม่ค้าง</t>
        </is>
      </c>
      <c r="H11" s="14" t="inlineStr">
        <is>
          <t>TD §16.8</t>
        </is>
      </c>
      <c r="I11" s="15" t="inlineStr">
        <is>
          <t>ยังไม่ทดสอบ</t>
        </is>
      </c>
      <c r="J11" s="14" t="inlineStr"/>
      <c r="K11" s="15" t="inlineStr"/>
      <c r="L11" s="16" t="inlineStr"/>
      <c r="M11" s="15" t="inlineStr"/>
      <c r="N11" s="15" t="inlineStr"/>
      <c r="O11" s="15" t="inlineStr"/>
    </row>
    <row r="12">
      <c r="A12" s="14" t="inlineStr">
        <is>
          <t>FE-ENV-11</t>
        </is>
      </c>
      <c r="B12" s="14" t="inlineStr">
        <is>
          <t>FE-ENV</t>
        </is>
      </c>
      <c r="C12" s="14" t="inlineStr">
        <is>
          <t>ตัวตัดสิน UI มือถือ และขนาดจอ (EC-03 · task 0.41–0.44, 1.16)</t>
        </is>
      </c>
      <c r="D12" s="14" t="inlineStr">
        <is>
          <t>P1</t>
        </is>
      </c>
      <c r="E12" s="14" t="inlineStr">
        <is>
          <t>ตัวอักษรไม่ขยายตามเครื่อง</t>
        </is>
      </c>
      <c r="F12" s="14" t="inlineStr">
        <is>
          <t>Android ตั้ง font size ใหญ่สุด แล้วเปิดแอป</t>
        </is>
      </c>
      <c r="G12" s="14" t="inlineStr">
        <is>
          <t>layout ไม่แตก ตัวอักษรขนาดเดิม</t>
        </is>
      </c>
      <c r="H12" s="14" t="inlineStr">
        <is>
          <t>§17.7 ข้อ 8</t>
        </is>
      </c>
      <c r="I12" s="15" t="inlineStr">
        <is>
          <t>ยังไม่ทดสอบ</t>
        </is>
      </c>
      <c r="J12" s="14" t="inlineStr"/>
      <c r="K12" s="15" t="inlineStr"/>
      <c r="L12" s="16" t="inlineStr"/>
      <c r="M12" s="15" t="inlineStr"/>
      <c r="N12" s="15" t="inlineStr"/>
      <c r="O12" s="15" t="inlineStr"/>
    </row>
    <row r="13">
      <c r="A13" s="14" t="inlineStr">
        <is>
          <t>FE-ENV-12</t>
        </is>
      </c>
      <c r="B13" s="14" t="inlineStr">
        <is>
          <t>FE-ENV</t>
        </is>
      </c>
      <c r="C13" s="14" t="inlineStr">
        <is>
          <t>ตัวตัดสิน UI มือถือ และขนาดจอ (EC-03 · task 0.41–0.44, 1.16)</t>
        </is>
      </c>
      <c r="D13" s="14" t="inlineStr">
        <is>
          <t>P2</t>
        </is>
      </c>
      <c r="E13" s="14" t="inlineStr">
        <is>
          <t>dark mode อย่างเดียว</t>
        </is>
      </c>
      <c r="F13" s="14" t="inlineStr">
        <is>
          <t>ตั้งเครื่องเป็น light mode</t>
        </is>
      </c>
      <c r="G13" s="14" t="inlineStr">
        <is>
          <t>แอปยังเป็นธีมมืด</t>
        </is>
      </c>
      <c r="H13" s="14" t="inlineStr">
        <is>
          <t>§17.7 ข้อ 9</t>
        </is>
      </c>
      <c r="I13" s="15" t="inlineStr">
        <is>
          <t>ยังไม่ทดสอบ</t>
        </is>
      </c>
      <c r="J13" s="14" t="inlineStr"/>
      <c r="K13" s="15" t="inlineStr"/>
      <c r="L13" s="16" t="inlineStr"/>
      <c r="M13" s="15" t="inlineStr"/>
      <c r="N13" s="15" t="inlineStr"/>
      <c r="O13" s="15" t="inlineStr"/>
    </row>
    <row r="14">
      <c r="A14" s="14" t="inlineStr">
        <is>
          <t>FE-ENV-13</t>
        </is>
      </c>
      <c r="B14" s="14" t="inlineStr">
        <is>
          <t>FE-ENV</t>
        </is>
      </c>
      <c r="C14" s="14" t="inlineStr">
        <is>
          <t>ตัวตัดสิน UI มือถือ และขนาดจอ (EC-03 · task 0.41–0.44, 1.16)</t>
        </is>
      </c>
      <c r="D14" s="14" t="inlineStr">
        <is>
          <t>P1</t>
        </is>
      </c>
      <c r="E14" s="14" t="inlineStr">
        <is>
          <t>safe area</t>
        </is>
      </c>
      <c r="F14" s="14" t="inlineStr">
        <is>
          <t>iPhone ที่มี Dynamic Island / home indicator ทั้ง 2 แนว</t>
        </is>
      </c>
      <c r="G14" s="14" t="inlineStr">
        <is>
          <t>ปุ่มและแถบล่างไม่ถูกบัง</t>
        </is>
      </c>
      <c r="H14" s="14" t="inlineStr">
        <is>
          <t>task 0.2</t>
        </is>
      </c>
      <c r="I14" s="15" t="inlineStr">
        <is>
          <t>ยังไม่ทดสอบ</t>
        </is>
      </c>
      <c r="J14" s="14" t="inlineStr"/>
      <c r="K14" s="15" t="inlineStr"/>
      <c r="L14" s="16" t="inlineStr"/>
      <c r="M14" s="15" t="inlineStr"/>
      <c r="N14" s="15" t="inlineStr"/>
      <c r="O14" s="15" t="inlineStr"/>
    </row>
    <row r="15">
      <c r="A15" s="14" t="inlineStr">
        <is>
          <t>FE-ENV-14</t>
        </is>
      </c>
      <c r="B15" s="14" t="inlineStr">
        <is>
          <t>FE-ENV</t>
        </is>
      </c>
      <c r="C15" s="14" t="inlineStr">
        <is>
          <t>ตัวตัดสิน UI มือถือ และขนาดจอ (EC-03 · task 0.41–0.44, 1.16)</t>
        </is>
      </c>
      <c r="D15" s="14" t="inlineStr">
        <is>
          <t>P0</t>
        </is>
      </c>
      <c r="E15" s="14" t="inlineStr">
        <is>
          <t>desktop หน้าต่างแนวตั้ง</t>
        </is>
      </c>
      <c r="F15" s="14" t="inlineStr">
        <is>
          <t>Chrome desktop ย่อหน้าต่างเป็น 600×900 แล้วเข้า workspace</t>
        </is>
      </c>
      <c r="G15" s="14" t="inlineStr">
        <is>
          <t>ได้ UI มือถือ Lite · ไม่มีหน้า Select workspace mode · ไม่มีหน้า Rotate</t>
        </is>
      </c>
      <c r="H15" s="14" t="inlineStr">
        <is>
          <t>§24 · TD §16.8</t>
        </is>
      </c>
      <c r="I15" s="15" t="inlineStr">
        <is>
          <t>ยังไม่ทดสอบ</t>
        </is>
      </c>
      <c r="J15" s="14" t="inlineStr"/>
      <c r="K15" s="15" t="inlineStr"/>
      <c r="L15" s="16" t="inlineStr"/>
      <c r="M15" s="15" t="inlineStr"/>
      <c r="N15" s="15" t="inlineStr"/>
      <c r="O15" s="15" t="inlineStr"/>
    </row>
    <row r="16">
      <c r="A16" s="14" t="inlineStr">
        <is>
          <t>FE-ENV-15</t>
        </is>
      </c>
      <c r="B16" s="14" t="inlineStr">
        <is>
          <t>FE-ENV</t>
        </is>
      </c>
      <c r="C16" s="14" t="inlineStr">
        <is>
          <t>ตัวตัดสิน UI มือถือ และขนาดจอ (EC-03 · task 0.41–0.44, 1.16)</t>
        </is>
      </c>
      <c r="D16" s="14" t="inlineStr">
        <is>
          <t>P1</t>
        </is>
      </c>
      <c r="E16" s="14" t="inlineStr">
        <is>
          <t>desktop หน้าต่างแคบแนวนอน</t>
        </is>
      </c>
      <c r="F16" s="14" t="inlineStr">
        <is>
          <t>ย่อหน้าต่างเป็น 700×500</t>
        </is>
      </c>
      <c r="G16" s="14" t="inlineStr">
        <is>
          <t>ได้ UI มือถือ Lite แทนหน้า Mobile unsupported</t>
        </is>
      </c>
      <c r="H16" s="14" t="inlineStr">
        <is>
          <t>§24</t>
        </is>
      </c>
      <c r="I16" s="15" t="inlineStr">
        <is>
          <t>ยังไม่ทดสอบ</t>
        </is>
      </c>
      <c r="J16" s="14" t="inlineStr"/>
      <c r="K16" s="15" t="inlineStr"/>
      <c r="L16" s="16" t="inlineStr"/>
      <c r="M16" s="15" t="inlineStr"/>
      <c r="N16" s="15" t="inlineStr"/>
      <c r="O16" s="15" t="inlineStr"/>
    </row>
    <row r="17">
      <c r="A17" s="14" t="inlineStr">
        <is>
          <t>FE-ENV-16</t>
        </is>
      </c>
      <c r="B17" s="14" t="inlineStr">
        <is>
          <t>FE-ENV</t>
        </is>
      </c>
      <c r="C17" s="14" t="inlineStr">
        <is>
          <t>ตัวตัดสิน UI มือถือ และขนาดจอ (EC-03 · task 0.41–0.44, 1.16)</t>
        </is>
      </c>
      <c r="D17" s="14" t="inlineStr">
        <is>
          <t>P0</t>
        </is>
      </c>
      <c r="E17" s="14" t="inlineStr">
        <is>
          <t>ย่อ / ขยายหน้าต่างระหว่างประชุม</t>
        </is>
      </c>
      <c r="F17" s="14" t="inlineStr">
        <is>
          <t>อยู่ใน meeting บน desktop แล้วย่อเป็นแนวตั้ง แล้วขยายกลับ</t>
        </is>
      </c>
      <c r="G17" s="14" t="inlineStr">
        <is>
          <t>สลับ UI หลังขนาดนิ่ง ~300 ms · เสียง / วิดีโอไม่หลุด · กลับแนวนอน ≥ 768 ได้ UI desktop เดิม · ไม่สลับระหว่างพิมพ์</t>
        </is>
      </c>
      <c r="H17" s="14" t="inlineStr">
        <is>
          <t>§24</t>
        </is>
      </c>
      <c r="I17" s="15" t="inlineStr">
        <is>
          <t>ยังไม่ทดสอบ</t>
        </is>
      </c>
      <c r="J17" s="14" t="inlineStr"/>
      <c r="K17" s="15" t="inlineStr"/>
      <c r="L17" s="16" t="inlineStr"/>
      <c r="M17" s="15" t="inlineStr"/>
      <c r="N17" s="15" t="inlineStr"/>
      <c r="O17" s="15" t="inlineStr"/>
    </row>
    <row r="18">
      <c r="A18" s="14" t="inlineStr">
        <is>
          <t>FE-ENV-17</t>
        </is>
      </c>
      <c r="B18" s="14" t="inlineStr">
        <is>
          <t>FE-ENV</t>
        </is>
      </c>
      <c r="C18" s="14" t="inlineStr">
        <is>
          <t>ตัวตัดสิน UI มือถือ และขนาดจอ (EC-03 · task 0.41–0.44, 1.16)</t>
        </is>
      </c>
      <c r="D18" s="14" t="inlineStr">
        <is>
          <t>P1</t>
        </is>
      </c>
      <c r="E18" s="14" t="inlineStr">
        <is>
          <t>mobile web หน้าตาเหมือนแอป</t>
        </is>
      </c>
      <c r="F18" s="14" t="inlineStr">
        <is>
          <t>เปิด mobile web บน iPhone Safari เทียบกับแอป</t>
        </is>
      </c>
      <c r="G18" s="14" t="inlineStr">
        <is>
          <t>ทุกหน้าเหมือนแอป · ต่างแค่ native (ไม่มี push, login แบบเว็บ, share = คัดลอกลิงก์, ไม่มี haptics)</t>
        </is>
      </c>
      <c r="H18" s="14" t="inlineStr">
        <is>
          <t>§24</t>
        </is>
      </c>
      <c r="I18" s="15" t="inlineStr">
        <is>
          <t>ยังไม่ทดสอบ</t>
        </is>
      </c>
      <c r="J18" s="14" t="inlineStr"/>
      <c r="K18" s="15" t="inlineStr"/>
      <c r="L18" s="16" t="inlineStr"/>
      <c r="M18" s="15" t="inlineStr"/>
      <c r="N18" s="15" t="inlineStr"/>
      <c r="O18" s="15" t="inlineStr"/>
    </row>
    <row r="19">
      <c r="A19" s="14" t="inlineStr">
        <is>
          <t>FE-ONB-01</t>
        </is>
      </c>
      <c r="B19" s="14" t="inlineStr">
        <is>
          <t>FE-ONB</t>
        </is>
      </c>
      <c r="C19" s="14" t="inlineStr">
        <is>
          <t>ติดตั้ง เปิดแอป login (HP-07 · task 0.31–0.33, 0.46, 1.2–1.5)</t>
        </is>
      </c>
      <c r="D19" s="14" t="inlineStr">
        <is>
          <t>P1</t>
        </is>
      </c>
      <c r="E19" s="14" t="inlineStr">
        <is>
          <t>splash</t>
        </is>
      </c>
      <c r="F19" s="14" t="inlineStr">
        <is>
          <t>เปิดแอปครั้งแรก</t>
        </is>
      </c>
      <c r="G19" s="14" t="inlineStr">
        <is>
          <t>splash 2 วินาที แล้วไป slide</t>
        </is>
      </c>
      <c r="H19" s="14" t="inlineStr">
        <is>
          <t>§11.2</t>
        </is>
      </c>
      <c r="I19" s="15" t="inlineStr">
        <is>
          <t>ยังไม่ทดสอบ</t>
        </is>
      </c>
      <c r="J19" s="14" t="inlineStr"/>
      <c r="K19" s="15" t="inlineStr"/>
      <c r="L19" s="16" t="inlineStr"/>
      <c r="M19" s="15" t="inlineStr"/>
      <c r="N19" s="15" t="inlineStr"/>
      <c r="O19" s="15" t="inlineStr"/>
    </row>
    <row r="20">
      <c r="A20" s="14" t="inlineStr">
        <is>
          <t>FE-ONB-02</t>
        </is>
      </c>
      <c r="B20" s="14" t="inlineStr">
        <is>
          <t>FE-ONB</t>
        </is>
      </c>
      <c r="C20" s="14" t="inlineStr">
        <is>
          <t>ติดตั้ง เปิดแอป login (HP-07 · task 0.31–0.33, 0.46, 1.2–1.5)</t>
        </is>
      </c>
      <c r="D20" s="14" t="inlineStr">
        <is>
          <t>P1</t>
        </is>
      </c>
      <c r="E20" s="14" t="inlineStr">
        <is>
          <t>onboarding 3 slide</t>
        </is>
      </c>
      <c r="F20" s="14" t="inlineStr">
        <is>
          <t>เลื่อน slide</t>
        </is>
      </c>
      <c r="G20" s="14" t="inlineStr">
        <is>
          <t>มี 3 slide ข้อความตาม Figma ไม่มีปุ่ม Skip</t>
        </is>
      </c>
      <c r="H20" s="14" t="inlineStr">
        <is>
          <t>§11.6</t>
        </is>
      </c>
      <c r="I20" s="15" t="inlineStr">
        <is>
          <t>ยังไม่ทดสอบ</t>
        </is>
      </c>
      <c r="J20" s="14" t="inlineStr"/>
      <c r="K20" s="15" t="inlineStr"/>
      <c r="L20" s="16" t="inlineStr"/>
      <c r="M20" s="15" t="inlineStr"/>
      <c r="N20" s="15" t="inlineStr"/>
      <c r="O20" s="15" t="inlineStr"/>
    </row>
    <row r="21">
      <c r="A21" s="14" t="inlineStr">
        <is>
          <t>FE-ONB-03</t>
        </is>
      </c>
      <c r="B21" s="14" t="inlineStr">
        <is>
          <t>FE-ONB</t>
        </is>
      </c>
      <c r="C21" s="14" t="inlineStr">
        <is>
          <t>ติดตั้ง เปิดแอป login (HP-07 · task 0.31–0.33, 0.46, 1.2–1.5)</t>
        </is>
      </c>
      <c r="D21" s="14" t="inlineStr">
        <is>
          <t>P0</t>
        </is>
      </c>
      <c r="E21" s="14" t="inlineStr">
        <is>
          <t>ขอสิทธิ์ notification ตอนเปิดครั้งแรก</t>
        </is>
      </c>
      <c r="F21" s="14" t="inlineStr">
        <is>
          <t>เปิดแอปครั้งแรก</t>
        </is>
      </c>
      <c r="G21" s="14" t="inlineStr">
        <is>
          <t>dialog ขอสิทธิ์ notification ขึ้นช่วง splash</t>
        </is>
      </c>
      <c r="H21" s="14" t="inlineStr">
        <is>
          <t>§12.5 ข้อ 1</t>
        </is>
      </c>
      <c r="I21" s="15" t="inlineStr">
        <is>
          <t>ยังไม่ทดสอบ</t>
        </is>
      </c>
      <c r="J21" s="14" t="inlineStr"/>
      <c r="K21" s="15" t="inlineStr"/>
      <c r="L21" s="16" t="inlineStr"/>
      <c r="M21" s="15" t="inlineStr"/>
      <c r="N21" s="15" t="inlineStr"/>
      <c r="O21" s="15" t="inlineStr"/>
    </row>
    <row r="22">
      <c r="A22" s="14" t="inlineStr">
        <is>
          <t>FE-ONB-04</t>
        </is>
      </c>
      <c r="B22" s="14" t="inlineStr">
        <is>
          <t>FE-ONB</t>
        </is>
      </c>
      <c r="C22" s="14" t="inlineStr">
        <is>
          <t>ติดตั้ง เปิดแอป login (HP-07 · task 0.31–0.33, 0.46, 1.2–1.5)</t>
        </is>
      </c>
      <c r="D22" s="14" t="inlineStr">
        <is>
          <t>P0</t>
        </is>
      </c>
      <c r="E22" s="14" t="inlineStr">
        <is>
          <t>หน้าก่อนเข้า workspace เป็นแนวตั้ง (มือถือ)</t>
        </is>
      </c>
      <c r="F22" s="14" t="inlineStr">
        <is>
          <t>หมุนเครื่องแนวนอนที่ splash / slide / login / Space builder / Create workspace / Select mode</t>
        </is>
      </c>
      <c r="G22" s="14" t="inlineStr">
        <is>
          <t>แอปล็อกแนวตั้ง · mobile web ขึ้นหน้า Rotate</t>
        </is>
      </c>
      <c r="H22" s="14" t="inlineStr">
        <is>
          <t>TD §16.5</t>
        </is>
      </c>
      <c r="I22" s="15" t="inlineStr">
        <is>
          <t>ยังไม่ทดสอบ</t>
        </is>
      </c>
      <c r="J22" s="14" t="inlineStr"/>
      <c r="K22" s="15" t="inlineStr"/>
      <c r="L22" s="16" t="inlineStr"/>
      <c r="M22" s="15" t="inlineStr"/>
      <c r="N22" s="15" t="inlineStr"/>
      <c r="O22" s="15" t="inlineStr"/>
    </row>
    <row r="23">
      <c r="A23" s="14" t="inlineStr">
        <is>
          <t>FE-ONB-05</t>
        </is>
      </c>
      <c r="B23" s="14" t="inlineStr">
        <is>
          <t>FE-ONB</t>
        </is>
      </c>
      <c r="C23" s="14" t="inlineStr">
        <is>
          <t>ติดตั้ง เปิดแอป login (HP-07 · task 0.31–0.33, 0.46, 1.2–1.5)</t>
        </is>
      </c>
      <c r="D23" s="14" t="inlineStr">
        <is>
          <t>P1</t>
        </is>
      </c>
      <c r="E23" s="14" t="inlineStr">
        <is>
          <t>หน้าก่อนเข้า workspace บน tablet</t>
        </is>
      </c>
      <c r="F23" s="14" t="inlineStr">
        <is>
          <t>หมุน iPad เป็นแนวนอน</t>
        </is>
      </c>
      <c r="G23" s="14" t="inlineStr">
        <is>
          <t>ไม่ล็อก แสดงคอลัมน์ layout แนวตั้งกลางจอ (~480 รอ design ยืนยัน)</t>
        </is>
      </c>
      <c r="H23" s="14" t="inlineStr">
        <is>
          <t>task 0.46</t>
        </is>
      </c>
      <c r="I23" s="15" t="inlineStr">
        <is>
          <t>ยังไม่ทดสอบ</t>
        </is>
      </c>
      <c r="J23" s="14" t="inlineStr"/>
      <c r="K23" s="15" t="inlineStr"/>
      <c r="L23" s="16" t="inlineStr"/>
      <c r="M23" s="15" t="inlineStr"/>
      <c r="N23" s="15" t="inlineStr"/>
      <c r="O23" s="15" t="inlineStr"/>
    </row>
    <row r="24">
      <c r="A24" s="14" t="inlineStr">
        <is>
          <t>FE-ONB-06</t>
        </is>
      </c>
      <c r="B24" s="14" t="inlineStr">
        <is>
          <t>FE-ONB</t>
        </is>
      </c>
      <c r="C24" s="14" t="inlineStr">
        <is>
          <t>ติดตั้ง เปิดแอป login (HP-07 · task 0.31–0.33, 0.46, 1.2–1.5)</t>
        </is>
      </c>
      <c r="D24" s="14" t="inlineStr">
        <is>
          <t>P0</t>
        </is>
      </c>
      <c r="E24" s="14" t="inlineStr">
        <is>
          <t>login ด้วย Google ในแอป</t>
        </is>
      </c>
      <c r="F24" s="14" t="inlineStr">
        <is>
          <t>กด Continue with Google</t>
        </is>
      </c>
      <c r="G24" s="14" t="inlineStr">
        <is>
          <t>เปิดหน้าเลือกบัญชีแบบ native (ไม่ใช่หน้าเว็บที่ Google บล็อก) · login สำเร็จ</t>
        </is>
      </c>
      <c r="H24" s="14" t="inlineStr">
        <is>
          <t>task 1.4</t>
        </is>
      </c>
      <c r="I24" s="15" t="inlineStr">
        <is>
          <t>ยังไม่ทดสอบ</t>
        </is>
      </c>
      <c r="J24" s="14" t="inlineStr"/>
      <c r="K24" s="15" t="inlineStr"/>
      <c r="L24" s="16" t="inlineStr"/>
      <c r="M24" s="15" t="inlineStr"/>
      <c r="N24" s="15" t="inlineStr"/>
      <c r="O24" s="15" t="inlineStr"/>
    </row>
    <row r="25">
      <c r="A25" s="14" t="inlineStr">
        <is>
          <t>FE-ONB-07</t>
        </is>
      </c>
      <c r="B25" s="14" t="inlineStr">
        <is>
          <t>FE-ONB</t>
        </is>
      </c>
      <c r="C25" s="14" t="inlineStr">
        <is>
          <t>ติดตั้ง เปิดแอป login (HP-07 · task 0.31–0.33, 0.46, 1.2–1.5)</t>
        </is>
      </c>
      <c r="D25" s="14" t="inlineStr">
        <is>
          <t>P0</t>
        </is>
      </c>
      <c r="E25" s="14" t="inlineStr">
        <is>
          <t>login ด้วย Apple ในแอป iOS</t>
        </is>
      </c>
      <c r="F25" s="14" t="inlineStr">
        <is>
          <t>กด Continue with Apple</t>
        </is>
      </c>
      <c r="G25" s="14" t="inlineStr">
        <is>
          <t>sheet Apple native · login สำเร็จ · กรณีซ่อนอีเมลก็ login ได้</t>
        </is>
      </c>
      <c r="H25" s="14" t="inlineStr">
        <is>
          <t>task 1.5</t>
        </is>
      </c>
      <c r="I25" s="15" t="inlineStr">
        <is>
          <t>ยังไม่ทดสอบ</t>
        </is>
      </c>
      <c r="J25" s="14" t="inlineStr"/>
      <c r="K25" s="15" t="inlineStr"/>
      <c r="L25" s="16" t="inlineStr"/>
      <c r="M25" s="15" t="inlineStr"/>
      <c r="N25" s="15" t="inlineStr"/>
      <c r="O25" s="15" t="inlineStr"/>
    </row>
    <row r="26">
      <c r="A26" s="14" t="inlineStr">
        <is>
          <t>FE-ONB-08</t>
        </is>
      </c>
      <c r="B26" s="14" t="inlineStr">
        <is>
          <t>FE-ONB</t>
        </is>
      </c>
      <c r="C26" s="14" t="inlineStr">
        <is>
          <t>ติดตั้ง เปิดแอป login (HP-07 · task 0.31–0.33, 0.46, 1.2–1.5)</t>
        </is>
      </c>
      <c r="D26" s="14" t="inlineStr">
        <is>
          <t>P1</t>
        </is>
      </c>
      <c r="E26" s="14" t="inlineStr">
        <is>
          <t>login ด้วย Apple บนเว็บ</t>
        </is>
      </c>
      <c r="F26" s="14" t="inlineStr">
        <is>
          <t>เปิด login บนเว็บทั้งแนวตั้งและแนวนอน</t>
        </is>
      </c>
      <c r="G26" s="14" t="inlineStr">
        <is>
          <t>มีปุ่ม Continue with Apple ทั้ง 2 แนว · login สำเร็จ</t>
        </is>
      </c>
      <c r="H26" s="14" t="inlineStr">
        <is>
          <t>§7 ข้อ 11</t>
        </is>
      </c>
      <c r="I26" s="15" t="inlineStr">
        <is>
          <t>ยังไม่ทดสอบ</t>
        </is>
      </c>
      <c r="J26" s="14" t="inlineStr"/>
      <c r="K26" s="15" t="inlineStr"/>
      <c r="L26" s="16" t="inlineStr"/>
      <c r="M26" s="15" t="inlineStr"/>
      <c r="N26" s="15" t="inlineStr"/>
      <c r="O26" s="15" t="inlineStr"/>
    </row>
    <row r="27">
      <c r="A27" s="14" t="inlineStr">
        <is>
          <t>FE-ONB-09</t>
        </is>
      </c>
      <c r="B27" s="14" t="inlineStr">
        <is>
          <t>FE-ONB</t>
        </is>
      </c>
      <c r="C27" s="14" t="inlineStr">
        <is>
          <t>ติดตั้ง เปิดแอป login (HP-07 · task 0.31–0.33, 0.46, 1.2–1.5)</t>
        </is>
      </c>
      <c r="D27" s="14" t="inlineStr">
        <is>
          <t>P0</t>
        </is>
      </c>
      <c r="E27" s="14" t="inlineStr">
        <is>
          <t>login ด้วย email</t>
        </is>
      </c>
      <c r="F27" s="14" t="inlineStr">
        <is>
          <t>กรอก email + password ในแอป</t>
        </is>
      </c>
      <c r="G27" s="14" t="inlineStr">
        <is>
          <t>login ได้ · reCAPTCHA ไม่ขวาง (ถ้ามี)</t>
        </is>
      </c>
      <c r="H27" s="14" t="inlineStr">
        <is>
          <t>task 1.3</t>
        </is>
      </c>
      <c r="I27" s="15" t="inlineStr">
        <is>
          <t>ยังไม่ทดสอบ</t>
        </is>
      </c>
      <c r="J27" s="14" t="inlineStr"/>
      <c r="K27" s="15" t="inlineStr"/>
      <c r="L27" s="16" t="inlineStr"/>
      <c r="M27" s="15" t="inlineStr"/>
      <c r="N27" s="15" t="inlineStr"/>
      <c r="O27" s="15" t="inlineStr"/>
    </row>
    <row r="28">
      <c r="A28" s="14" t="inlineStr">
        <is>
          <t>FE-ONB-10</t>
        </is>
      </c>
      <c r="B28" s="14" t="inlineStr">
        <is>
          <t>FE-ONB</t>
        </is>
      </c>
      <c r="C28" s="14" t="inlineStr">
        <is>
          <t>ติดตั้ง เปิดแอป login (HP-07 · task 0.31–0.33, 0.46, 1.2–1.5)</t>
        </is>
      </c>
      <c r="D28" s="14" t="inlineStr">
        <is>
          <t>P2</t>
        </is>
      </c>
      <c r="E28" s="14" t="inlineStr">
        <is>
          <t>ไม่มี Microsoft login</t>
        </is>
      </c>
      <c r="F28" s="14" t="inlineStr">
        <is>
          <t>ดูหน้า login บนมือถือ</t>
        </is>
      </c>
      <c r="G28" s="14" t="inlineStr">
        <is>
          <t>ไม่มีปุ่ม Microsoft</t>
        </is>
      </c>
      <c r="H28" s="14" t="inlineStr">
        <is>
          <t>spec OQ 5</t>
        </is>
      </c>
      <c r="I28" s="15" t="inlineStr">
        <is>
          <t>ยังไม่ทดสอบ</t>
        </is>
      </c>
      <c r="J28" s="14" t="inlineStr"/>
      <c r="K28" s="15" t="inlineStr"/>
      <c r="L28" s="16" t="inlineStr"/>
      <c r="M28" s="15" t="inlineStr"/>
      <c r="N28" s="15" t="inlineStr"/>
      <c r="O28" s="15" t="inlineStr"/>
    </row>
    <row r="29">
      <c r="A29" s="14" t="inlineStr">
        <is>
          <t>FE-ONB-11</t>
        </is>
      </c>
      <c r="B29" s="14" t="inlineStr">
        <is>
          <t>FE-ONB</t>
        </is>
      </c>
      <c r="C29" s="14" t="inlineStr">
        <is>
          <t>ติดตั้ง เปิดแอป login (HP-07 · task 0.31–0.33, 0.46, 1.2–1.5)</t>
        </is>
      </c>
      <c r="D29" s="14" t="inlineStr">
        <is>
          <t>P1</t>
        </is>
      </c>
      <c r="E29" s="14" t="inlineStr">
        <is>
          <t>Space builder (รายการ workspace)</t>
        </is>
      </c>
      <c r="F29" s="14" t="inlineStr">
        <is>
          <t>login แล้ว</t>
        </is>
      </c>
      <c r="G29" s="14" t="inlineStr">
        <is>
          <t>หน้า Space builder: Empty / มีรายการ / ค้นหาเจอ (highlight) / ค้นหาไม่เจอ · เมนู ⋮ ของการ์ด</t>
        </is>
      </c>
      <c r="H29" s="14" t="inlineStr">
        <is>
          <t>§11.2</t>
        </is>
      </c>
      <c r="I29" s="15" t="inlineStr">
        <is>
          <t>ยังไม่ทดสอบ</t>
        </is>
      </c>
      <c r="J29" s="14" t="inlineStr"/>
      <c r="K29" s="15" t="inlineStr"/>
      <c r="L29" s="16" t="inlineStr"/>
      <c r="M29" s="15" t="inlineStr"/>
      <c r="N29" s="15" t="inlineStr"/>
      <c r="O29" s="15" t="inlineStr"/>
    </row>
    <row r="30">
      <c r="A30" s="14" t="inlineStr">
        <is>
          <t>FE-ONB-12</t>
        </is>
      </c>
      <c r="B30" s="14" t="inlineStr">
        <is>
          <t>FE-ONB</t>
        </is>
      </c>
      <c r="C30" s="14" t="inlineStr">
        <is>
          <t>ติดตั้ง เปิดแอป login (HP-07 · task 0.31–0.33, 0.46, 1.2–1.5)</t>
        </is>
      </c>
      <c r="D30" s="14" t="inlineStr">
        <is>
          <t>P1</t>
        </is>
      </c>
      <c r="E30" s="14" t="inlineStr">
        <is>
          <t>สร้าง workspace บนมือถือ</t>
        </is>
      </c>
      <c r="F30" s="14" t="inlineStr">
        <is>
          <t>Create workspace 3 ขั้น</t>
        </is>
      </c>
      <c r="G30" s="14" t="inlineStr">
        <is>
          <t>เลือก template (filter Capacity) → details → Workspace created → Enter Workspace</t>
        </is>
      </c>
      <c r="H30" s="14" t="inlineStr">
        <is>
          <t>task 0.32</t>
        </is>
      </c>
      <c r="I30" s="15" t="inlineStr">
        <is>
          <t>ยังไม่ทดสอบ</t>
        </is>
      </c>
      <c r="J30" s="14" t="inlineStr"/>
      <c r="K30" s="15" t="inlineStr"/>
      <c r="L30" s="16" t="inlineStr"/>
      <c r="M30" s="15" t="inlineStr"/>
      <c r="N30" s="15" t="inlineStr"/>
      <c r="O30" s="15" t="inlineStr"/>
    </row>
    <row r="31">
      <c r="A31" s="14" t="inlineStr">
        <is>
          <t>FE-ONB-13</t>
        </is>
      </c>
      <c r="B31" s="14" t="inlineStr">
        <is>
          <t>FE-ONB</t>
        </is>
      </c>
      <c r="C31" s="14" t="inlineStr">
        <is>
          <t>ติดตั้ง เปิดแอป login (HP-07 · task 0.31–0.33, 0.46, 1.2–1.5)</t>
        </is>
      </c>
      <c r="D31" s="14" t="inlineStr">
        <is>
          <t>P1</t>
        </is>
      </c>
      <c r="E31" s="14" t="inlineStr">
        <is>
          <t>sheet "Meet Zyra on mobile" บนเว็บ</t>
        </is>
      </c>
      <c r="F31" s="14" t="inlineStr">
        <is>
          <t>เปิดเว็บบนมือถือ รอ ~5 วิ</t>
        </is>
      </c>
      <c r="G31" s="14" t="inlineStr">
        <is>
          <t>sheet ขึ้น · Open Zyra → เปิดแอป (ถ้ามี) หรือไป App Store / Play Store · Later → ซ่อน 7 วัน</t>
        </is>
      </c>
      <c r="H31" s="14" t="inlineStr">
        <is>
          <t>task 0.33</t>
        </is>
      </c>
      <c r="I31" s="15" t="inlineStr">
        <is>
          <t>ยังไม่ทดสอบ</t>
        </is>
      </c>
      <c r="J31" s="14" t="inlineStr"/>
      <c r="K31" s="15" t="inlineStr"/>
      <c r="L31" s="16" t="inlineStr"/>
      <c r="M31" s="15" t="inlineStr"/>
      <c r="N31" s="15" t="inlineStr"/>
      <c r="O31" s="15" t="inlineStr"/>
    </row>
    <row r="32">
      <c r="A32" s="14" t="inlineStr">
        <is>
          <t>FE-ONB-14</t>
        </is>
      </c>
      <c r="B32" s="14" t="inlineStr">
        <is>
          <t>FE-ONB</t>
        </is>
      </c>
      <c r="C32" s="14" t="inlineStr">
        <is>
          <t>ติดตั้ง เปิดแอป login (HP-07 · task 0.31–0.33, 0.46, 1.2–1.5)</t>
        </is>
      </c>
      <c r="D32" s="14" t="inlineStr">
        <is>
          <t>P2</t>
        </is>
      </c>
      <c r="E32" s="14" t="inlineStr">
        <is>
          <t>ชวนติดตั้ง PWA</t>
        </is>
      </c>
      <c r="F32" s="14" t="inlineStr">
        <is>
          <t>กด Later แล้วเข้าเว็บครั้งที่ 2</t>
        </is>
      </c>
      <c r="G32" s="14" t="inlineStr">
        <is>
          <t>ขึ้นหน้า Add to Home Screen (Android ปุ่ม Install · iOS บอกขั้นตอน)</t>
        </is>
      </c>
      <c r="H32" s="14" t="inlineStr">
        <is>
          <t>§11.6 ข้อ 2</t>
        </is>
      </c>
      <c r="I32" s="15" t="inlineStr">
        <is>
          <t>Blocked</t>
        </is>
      </c>
      <c r="J32" s="14" t="inlineStr">
        <is>
          <t>รอ UI จาก design</t>
        </is>
      </c>
      <c r="K32" s="15" t="inlineStr"/>
      <c r="L32" s="16" t="inlineStr"/>
      <c r="M32" s="15" t="inlineStr"/>
      <c r="N32" s="15" t="inlineStr"/>
      <c r="O32" s="15" t="inlineStr"/>
    </row>
    <row r="33">
      <c r="A33" s="14" t="inlineStr">
        <is>
          <t>FE-ONB-15</t>
        </is>
      </c>
      <c r="B33" s="14" t="inlineStr">
        <is>
          <t>FE-ONB</t>
        </is>
      </c>
      <c r="C33" s="14" t="inlineStr">
        <is>
          <t>ติดตั้ง เปิดแอป login (HP-07 · task 0.31–0.33, 0.46, 1.2–1.5)</t>
        </is>
      </c>
      <c r="D33" s="14" t="inlineStr">
        <is>
          <t>P1</t>
        </is>
      </c>
      <c r="E33" s="14" t="inlineStr">
        <is>
          <t>แจ้งมี version ใหม่</t>
        </is>
      </c>
      <c r="F33" s="14" t="inlineStr">
        <is>
          <t>deploy version ใหม่ระหว่างใช้แอป</t>
        </is>
      </c>
      <c r="G33" s="14" t="inlineStr">
        <is>
          <t>modal แจ้ง update ขึ้นภายใน 30 นาที</t>
        </is>
      </c>
      <c r="H33" s="14" t="inlineStr">
        <is>
          <t>clickup-spec §18 ข้อ 9</t>
        </is>
      </c>
      <c r="I33" s="15" t="inlineStr">
        <is>
          <t>ยังไม่ทดสอบ</t>
        </is>
      </c>
      <c r="J33" s="14" t="inlineStr"/>
      <c r="K33" s="15" t="inlineStr"/>
      <c r="L33" s="16" t="inlineStr"/>
      <c r="M33" s="15" t="inlineStr"/>
      <c r="N33" s="15" t="inlineStr"/>
      <c r="O33" s="15" t="inlineStr"/>
    </row>
    <row r="34">
      <c r="A34" s="14" t="inlineStr">
        <is>
          <t>FE-ONB-16</t>
        </is>
      </c>
      <c r="B34" s="14" t="inlineStr">
        <is>
          <t>FE-ONB</t>
        </is>
      </c>
      <c r="C34" s="14" t="inlineStr">
        <is>
          <t>ติดตั้ง เปิดแอป login (HP-07 · task 0.31–0.33, 0.46, 1.2–1.5)</t>
        </is>
      </c>
      <c r="D34" s="14" t="inlineStr">
        <is>
          <t>P1</t>
        </is>
      </c>
      <c r="E34" s="14" t="inlineStr">
        <is>
          <t>error ตอน login</t>
        </is>
      </c>
      <c r="F34" s="14" t="inlineStr">
        <is>
          <t>รหัสผิด · อีเมลยังไม่ยืนยัน · กด cancel ตอนเลือกบัญชี Google · ปิดเน็ต</t>
        </is>
      </c>
      <c r="G34" s="14" t="inlineStr">
        <is>
          <t>ข้อความแดง "Incorrect email or password." · sheet "Verify your email" → OTP · cancel แล้วอยู่หน้าเดิมไม่มี error · toast "Can't connect…"</t>
        </is>
      </c>
      <c r="H34" s="14" t="inlineStr">
        <is>
          <t>§22.3 · task 0.60</t>
        </is>
      </c>
      <c r="I34" s="15" t="inlineStr">
        <is>
          <t>Blocked</t>
        </is>
      </c>
      <c r="J34" s="14" t="inlineStr">
        <is>
          <t>รอ UI จาก design</t>
        </is>
      </c>
      <c r="K34" s="15" t="inlineStr"/>
      <c r="L34" s="16" t="inlineStr"/>
      <c r="M34" s="15" t="inlineStr"/>
      <c r="N34" s="15" t="inlineStr"/>
      <c r="O34" s="15" t="inlineStr"/>
    </row>
    <row r="35">
      <c r="A35" s="14" t="inlineStr">
        <is>
          <t>FE-MODE-01</t>
        </is>
      </c>
      <c r="B35" s="14" t="inlineStr">
        <is>
          <t>FE-MODE</t>
        </is>
      </c>
      <c r="C35" s="14" t="inlineStr">
        <is>
          <t>เลือกโหมด Lite / Spatial และหน้า Rotate (HP-03 · task 0.12–0.15, 0.42)</t>
        </is>
      </c>
      <c r="D35" s="14" t="inlineStr">
        <is>
          <t>P0</t>
        </is>
      </c>
      <c r="E35" s="14" t="inlineStr">
        <is>
          <t>เลือกโหมดครั้งแรก</t>
        </is>
      </c>
      <c r="F35" s="14" t="inlineStr">
        <is>
          <t>เลือก workspace</t>
        </is>
      </c>
      <c r="G35" s="14" t="inlineStr">
        <is>
          <t>ขึ้นหน้า Select workspace mode (Lite / Spatial) → Confirm → sheet Keep This Setting?</t>
        </is>
      </c>
      <c r="H35" s="14" t="inlineStr">
        <is>
          <t>§3.4</t>
        </is>
      </c>
      <c r="I35" s="15" t="inlineStr">
        <is>
          <t>ยังไม่ทดสอบ</t>
        </is>
      </c>
      <c r="J35" s="14" t="inlineStr"/>
      <c r="K35" s="15" t="inlineStr"/>
      <c r="L35" s="16" t="inlineStr"/>
      <c r="M35" s="15" t="inlineStr"/>
      <c r="N35" s="15" t="inlineStr"/>
      <c r="O35" s="15" t="inlineStr"/>
    </row>
    <row r="36">
      <c r="A36" s="14" t="inlineStr">
        <is>
          <t>FE-MODE-02</t>
        </is>
      </c>
      <c r="B36" s="14" t="inlineStr">
        <is>
          <t>FE-MODE</t>
        </is>
      </c>
      <c r="C36" s="14" t="inlineStr">
        <is>
          <t>เลือกโหมด Lite / Spatial และหน้า Rotate (HP-03 · task 0.12–0.15, 0.42)</t>
        </is>
      </c>
      <c r="D36" s="14" t="inlineStr">
        <is>
          <t>P0</t>
        </is>
      </c>
      <c r="E36" s="14" t="inlineStr">
        <is>
          <t>Remind me again = จำ 1 วัน ทุก workspace</t>
        </is>
      </c>
      <c r="F36" s="14" t="inlineStr">
        <is>
          <t>เลือก Remind me again แล้วสลับไป workspace อื่นภายใน 24 ชม.</t>
        </is>
      </c>
      <c r="G36" s="14" t="inlineStr">
        <is>
          <t>ไม่ถามโหมดซ้ำ · ครบ 24 ชม. ถามใหม่</t>
        </is>
      </c>
      <c r="H36" s="14" t="inlineStr">
        <is>
          <t>TD §16.1</t>
        </is>
      </c>
      <c r="I36" s="15" t="inlineStr">
        <is>
          <t>ยังไม่ทดสอบ</t>
        </is>
      </c>
      <c r="J36" s="14" t="inlineStr"/>
      <c r="K36" s="15" t="inlineStr"/>
      <c r="L36" s="16" t="inlineStr"/>
      <c r="M36" s="15" t="inlineStr"/>
      <c r="N36" s="15" t="inlineStr"/>
      <c r="O36" s="15" t="inlineStr"/>
    </row>
    <row r="37">
      <c r="A37" s="14" t="inlineStr">
        <is>
          <t>FE-MODE-03</t>
        </is>
      </c>
      <c r="B37" s="14" t="inlineStr">
        <is>
          <t>FE-MODE</t>
        </is>
      </c>
      <c r="C37" s="14" t="inlineStr">
        <is>
          <t>เลือกโหมด Lite / Spatial และหน้า Rotate (HP-03 · task 0.12–0.15, 0.42)</t>
        </is>
      </c>
      <c r="D37" s="14" t="inlineStr">
        <is>
          <t>P1</t>
        </is>
      </c>
      <c r="E37" s="14" t="inlineStr">
        <is>
          <t>Always = จำตลอด</t>
        </is>
      </c>
      <c r="F37" s="14" t="inlineStr">
        <is>
          <t>เลือก Always แล้วปิดเปิดแอป</t>
        </is>
      </c>
      <c r="G37" s="14" t="inlineStr">
        <is>
          <t>ไม่ถามอีก</t>
        </is>
      </c>
      <c r="H37" s="14" t="inlineStr">
        <is>
          <t>TD §16.1</t>
        </is>
      </c>
      <c r="I37" s="15" t="inlineStr">
        <is>
          <t>ยังไม่ทดสอบ</t>
        </is>
      </c>
      <c r="J37" s="14" t="inlineStr"/>
      <c r="K37" s="15" t="inlineStr"/>
      <c r="L37" s="16" t="inlineStr"/>
      <c r="M37" s="15" t="inlineStr"/>
      <c r="N37" s="15" t="inlineStr"/>
      <c r="O37" s="15" t="inlineStr"/>
    </row>
    <row r="38">
      <c r="A38" s="14" t="inlineStr">
        <is>
          <t>FE-MODE-04</t>
        </is>
      </c>
      <c r="B38" s="14" t="inlineStr">
        <is>
          <t>FE-MODE</t>
        </is>
      </c>
      <c r="C38" s="14" t="inlineStr">
        <is>
          <t>เลือกโหมด Lite / Spatial และหน้า Rotate (HP-03 · task 0.12–0.15, 0.42)</t>
        </is>
      </c>
      <c r="D38" s="14" t="inlineStr">
        <is>
          <t>P0</t>
        </is>
      </c>
      <c r="E38" s="14" t="inlineStr">
        <is>
          <t>เปลี่ยนโหมดได้จาก Settings เท่านั้น</t>
        </is>
      </c>
      <c r="F38" s="14" t="inlineStr">
        <is>
          <t>Profile → Setting → Workspace mode</t>
        </is>
      </c>
      <c r="G38" s="14" t="inlineStr">
        <is>
          <t>เปลี่ยนแล้วโหลดหน้าใหม่ในโหมดใหม่ · การหมุนเครื่องไม่สลับโหมด</t>
        </is>
      </c>
      <c r="H38" s="14" t="inlineStr">
        <is>
          <t>§3.4</t>
        </is>
      </c>
      <c r="I38" s="15" t="inlineStr">
        <is>
          <t>ยังไม่ทดสอบ</t>
        </is>
      </c>
      <c r="J38" s="14" t="inlineStr"/>
      <c r="K38" s="15" t="inlineStr"/>
      <c r="L38" s="16" t="inlineStr"/>
      <c r="M38" s="15" t="inlineStr"/>
      <c r="N38" s="15" t="inlineStr"/>
      <c r="O38" s="15" t="inlineStr"/>
    </row>
    <row r="39">
      <c r="A39" s="14" t="inlineStr">
        <is>
          <t>FE-MODE-05</t>
        </is>
      </c>
      <c r="B39" s="14" t="inlineStr">
        <is>
          <t>FE-MODE</t>
        </is>
      </c>
      <c r="C39" s="14" t="inlineStr">
        <is>
          <t>เลือกโหมด Lite / Spatial และหน้า Rotate (HP-03 · task 0.12–0.15, 0.42)</t>
        </is>
      </c>
      <c r="D39" s="14" t="inlineStr">
        <is>
          <t>P0</t>
        </is>
      </c>
      <c r="E39" s="14" t="inlineStr">
        <is>
          <t>Lite ถือแนวนอน</t>
        </is>
      </c>
      <c r="F39" s="14" t="inlineStr">
        <is>
          <t>อยู่ Lite แล้วหมุนเครื่องแนวนอน</t>
        </is>
      </c>
      <c r="G39" s="14" t="inlineStr">
        <is>
          <t>หน้า "Rotate your phone to use Lite Mode." ทับ · หมุนกลับแล้วหาย</t>
        </is>
      </c>
      <c r="H39" s="14" t="inlineStr">
        <is>
          <t>§3.5</t>
        </is>
      </c>
      <c r="I39" s="15" t="inlineStr">
        <is>
          <t>ยังไม่ทดสอบ</t>
        </is>
      </c>
      <c r="J39" s="14" t="inlineStr"/>
      <c r="K39" s="15" t="inlineStr"/>
      <c r="L39" s="16" t="inlineStr"/>
      <c r="M39" s="15" t="inlineStr"/>
      <c r="N39" s="15" t="inlineStr"/>
      <c r="O39" s="15" t="inlineStr"/>
    </row>
    <row r="40">
      <c r="A40" s="14" t="inlineStr">
        <is>
          <t>FE-MODE-06</t>
        </is>
      </c>
      <c r="B40" s="14" t="inlineStr">
        <is>
          <t>FE-MODE</t>
        </is>
      </c>
      <c r="C40" s="14" t="inlineStr">
        <is>
          <t>เลือกโหมด Lite / Spatial และหน้า Rotate (HP-03 · task 0.12–0.15, 0.42)</t>
        </is>
      </c>
      <c r="D40" s="14" t="inlineStr">
        <is>
          <t>P0</t>
        </is>
      </c>
      <c r="E40" s="14" t="inlineStr">
        <is>
          <t>Spatial ถือแนวตั้ง</t>
        </is>
      </c>
      <c r="F40" s="14" t="inlineStr">
        <is>
          <t>อยู่ Spatial แล้วหมุนแนวตั้ง</t>
        </is>
      </c>
      <c r="G40" s="14" t="inlineStr">
        <is>
          <t>หน้า Rotate ทับ · แมพหยุดวาด แต่เสียงประชุมยังต่อ · หมุนกลับแมพกลับมา</t>
        </is>
      </c>
      <c r="H40" s="14" t="inlineStr">
        <is>
          <t>§3.5, TD §16.3</t>
        </is>
      </c>
      <c r="I40" s="15" t="inlineStr">
        <is>
          <t>ยังไม่ทดสอบ</t>
        </is>
      </c>
      <c r="J40" s="14" t="inlineStr"/>
      <c r="K40" s="15" t="inlineStr"/>
      <c r="L40" s="16" t="inlineStr"/>
      <c r="M40" s="15" t="inlineStr"/>
      <c r="N40" s="15" t="inlineStr"/>
      <c r="O40" s="15" t="inlineStr"/>
    </row>
    <row r="41">
      <c r="A41" s="14" t="inlineStr">
        <is>
          <t>FE-MODE-07</t>
        </is>
      </c>
      <c r="B41" s="14" t="inlineStr">
        <is>
          <t>FE-MODE</t>
        </is>
      </c>
      <c r="C41" s="14" t="inlineStr">
        <is>
          <t>เลือกโหมด Lite / Spatial และหน้า Rotate (HP-03 · task 0.12–0.15, 0.42)</t>
        </is>
      </c>
      <c r="D41" s="14" t="inlineStr">
        <is>
          <t>P1</t>
        </is>
      </c>
      <c r="E41" s="14" t="inlineStr">
        <is>
          <t>คีย์บอร์ดไม่ทำให้หน้า Rotate เด้ง</t>
        </is>
      </c>
      <c r="F41" s="14" t="inlineStr">
        <is>
          <t>Android พิมพ์แชทใน Lite</t>
        </is>
      </c>
      <c r="G41" s="14" t="inlineStr">
        <is>
          <t>ไม่ขึ้นหน้า Rotate ตอนคีย์บอร์ดเปิด</t>
        </is>
      </c>
      <c r="H41" s="14" t="inlineStr">
        <is>
          <t>TD §16.4</t>
        </is>
      </c>
      <c r="I41" s="15" t="inlineStr">
        <is>
          <t>ยังไม่ทดสอบ</t>
        </is>
      </c>
      <c r="J41" s="14" t="inlineStr"/>
      <c r="K41" s="15" t="inlineStr"/>
      <c r="L41" s="16" t="inlineStr"/>
      <c r="M41" s="15" t="inlineStr"/>
      <c r="N41" s="15" t="inlineStr"/>
      <c r="O41" s="15" t="inlineStr"/>
    </row>
    <row r="42">
      <c r="A42" s="14" t="inlineStr">
        <is>
          <t>FE-MODE-08</t>
        </is>
      </c>
      <c r="B42" s="14" t="inlineStr">
        <is>
          <t>FE-MODE</t>
        </is>
      </c>
      <c r="C42" s="14" t="inlineStr">
        <is>
          <t>เลือกโหมด Lite / Spatial และหน้า Rotate (HP-03 · task 0.12–0.15, 0.42)</t>
        </is>
      </c>
      <c r="D42" s="14" t="inlineStr">
        <is>
          <t>P0</t>
        </is>
      </c>
      <c r="E42" s="14" t="inlineStr">
        <is>
          <t>Lite ไม่โหลดแมพ</t>
        </is>
      </c>
      <c r="F42" s="14" t="inlineStr">
        <is>
          <t>เข้า Lite แล้วดู network</t>
        </is>
      </c>
      <c r="G42" s="14" t="inlineStr">
        <is>
          <t>ไม่มีการโหลด engine / map / spritesheet</t>
        </is>
      </c>
      <c r="H42" s="14" t="inlineStr">
        <is>
          <t>TD §16.2</t>
        </is>
      </c>
      <c r="I42" s="15" t="inlineStr">
        <is>
          <t>ยังไม่ทดสอบ</t>
        </is>
      </c>
      <c r="J42" s="14" t="inlineStr"/>
      <c r="K42" s="15" t="inlineStr"/>
      <c r="L42" s="16" t="inlineStr"/>
      <c r="M42" s="15" t="inlineStr"/>
      <c r="N42" s="15" t="inlineStr"/>
      <c r="O42" s="15" t="inlineStr"/>
    </row>
    <row r="43">
      <c r="A43" s="14" t="inlineStr">
        <is>
          <t>FE-MODE-09</t>
        </is>
      </c>
      <c r="B43" s="14" t="inlineStr">
        <is>
          <t>FE-MODE</t>
        </is>
      </c>
      <c r="C43" s="14" t="inlineStr">
        <is>
          <t>เลือกโหมด Lite / Spatial และหน้า Rotate (HP-03 · task 0.12–0.15, 0.42)</t>
        </is>
      </c>
      <c r="D43" s="14" t="inlineStr">
        <is>
          <t>P1</t>
        </is>
      </c>
      <c r="E43" s="14" t="inlineStr">
        <is>
          <t>Lite เข้าเลยไม่ผ่าน pre-join</t>
        </is>
      </c>
      <c r="F43" s="14" t="inlineStr">
        <is>
          <t>เลือก Lite → Enter Workspace</t>
        </is>
      </c>
      <c r="G43" s="14" t="inlineStr">
        <is>
          <t>ไป Connecting → Lite Home ทันที (ไม่มีหน้า preview กล้อง/ชื่อตัวละคร)</t>
        </is>
      </c>
      <c r="H43" s="14" t="inlineStr">
        <is>
          <t>TD §16.1</t>
        </is>
      </c>
      <c r="I43" s="15" t="inlineStr">
        <is>
          <t>ยังไม่ทดสอบ</t>
        </is>
      </c>
      <c r="J43" s="14" t="inlineStr"/>
      <c r="K43" s="15" t="inlineStr"/>
      <c r="L43" s="16" t="inlineStr"/>
      <c r="M43" s="15" t="inlineStr"/>
      <c r="N43" s="15" t="inlineStr"/>
      <c r="O43" s="15" t="inlineStr"/>
    </row>
    <row r="44">
      <c r="A44" s="14" t="inlineStr">
        <is>
          <t>FE-MODE-10</t>
        </is>
      </c>
      <c r="B44" s="14" t="inlineStr">
        <is>
          <t>FE-MODE</t>
        </is>
      </c>
      <c r="C44" s="14" t="inlineStr">
        <is>
          <t>เลือกโหมด Lite / Spatial และหน้า Rotate (HP-03 · task 0.12–0.15, 0.42)</t>
        </is>
      </c>
      <c r="D44" s="14" t="inlineStr">
        <is>
          <t>P1</t>
        </is>
      </c>
      <c r="E44" s="14" t="inlineStr">
        <is>
          <t>Spatial ผ่าน pre-join</t>
        </is>
      </c>
      <c r="F44" s="14" t="inlineStr">
        <is>
          <t>เลือก Spatial</t>
        </is>
      </c>
      <c r="G44" s="14" t="inlineStr">
        <is>
          <t>หน้า welcome / pre-join แนวนอน → Connecting → แมพ</t>
        </is>
      </c>
      <c r="H44" s="14" t="inlineStr">
        <is>
          <t>§3.6</t>
        </is>
      </c>
      <c r="I44" s="15" t="inlineStr">
        <is>
          <t>ยังไม่ทดสอบ</t>
        </is>
      </c>
      <c r="J44" s="14" t="inlineStr"/>
      <c r="K44" s="15" t="inlineStr"/>
      <c r="L44" s="16" t="inlineStr"/>
      <c r="M44" s="15" t="inlineStr"/>
      <c r="N44" s="15" t="inlineStr"/>
      <c r="O44" s="15" t="inlineStr"/>
    </row>
    <row r="45">
      <c r="A45" s="14" t="inlineStr">
        <is>
          <t>FE-LITE-01</t>
        </is>
      </c>
      <c r="B45" s="14" t="inlineStr">
        <is>
          <t>FE-LITE</t>
        </is>
      </c>
      <c r="C45" s="14" t="inlineStr">
        <is>
          <t>Lite Home และ navigation (HP-03, HP-06 · task 0.14, 0.28–0.30)</t>
        </is>
      </c>
      <c r="D45" s="14" t="inlineStr">
        <is>
          <t>P0</t>
        </is>
      </c>
      <c r="E45" s="14" t="inlineStr">
        <is>
          <t>Lite Home</t>
        </is>
      </c>
      <c r="F45" s="14" t="inlineStr">
        <is>
          <t>เข้า Lite</t>
        </is>
      </c>
      <c r="G45" s="14" t="inlineStr">
        <is>
          <t>header workspace + Start spotlight / Instant meeting + ค้นหา + In meeting + Circle + Online / Offline</t>
        </is>
      </c>
      <c r="H45" s="14" t="inlineStr">
        <is>
          <t>§3.8</t>
        </is>
      </c>
      <c r="I45" s="15" t="inlineStr">
        <is>
          <t>ยังไม่ทดสอบ</t>
        </is>
      </c>
      <c r="J45" s="14" t="inlineStr"/>
      <c r="K45" s="15" t="inlineStr"/>
      <c r="L45" s="16" t="inlineStr"/>
      <c r="M45" s="15" t="inlineStr"/>
      <c r="N45" s="15" t="inlineStr"/>
      <c r="O45" s="15" t="inlineStr"/>
    </row>
    <row r="46">
      <c r="A46" s="14" t="inlineStr">
        <is>
          <t>FE-LITE-02</t>
        </is>
      </c>
      <c r="B46" s="14" t="inlineStr">
        <is>
          <t>FE-LITE</t>
        </is>
      </c>
      <c r="C46" s="14" t="inlineStr">
        <is>
          <t>Lite Home และ navigation (HP-03, HP-06 · task 0.14, 0.28–0.30)</t>
        </is>
      </c>
      <c r="D46" s="14" t="inlineStr">
        <is>
          <t>P0</t>
        </is>
      </c>
      <c r="E46" s="14" t="inlineStr">
        <is>
          <t>แท็บล่าง 3 ปุ่ม</t>
        </is>
      </c>
      <c r="F46" s="14" t="inlineStr">
        <is>
          <t>ดูแท็บล่าง</t>
        </is>
      </c>
      <c r="G46" s="14" t="inlineStr">
        <is>
          <t>Home / Chat / Profile แบบ icon ไม่มี label · ไม่มี Calendar · หดตอนเลื่อน</t>
        </is>
      </c>
      <c r="H46" s="14" t="inlineStr">
        <is>
          <t>§10.6 ข้อ 7</t>
        </is>
      </c>
      <c r="I46" s="15" t="inlineStr">
        <is>
          <t>ยังไม่ทดสอบ</t>
        </is>
      </c>
      <c r="J46" s="14" t="inlineStr"/>
      <c r="K46" s="15" t="inlineStr"/>
      <c r="L46" s="16" t="inlineStr"/>
      <c r="M46" s="15" t="inlineStr"/>
      <c r="N46" s="15" t="inlineStr"/>
      <c r="O46" s="15" t="inlineStr"/>
    </row>
    <row r="47">
      <c r="A47" s="14" t="inlineStr">
        <is>
          <t>FE-LITE-03</t>
        </is>
      </c>
      <c r="B47" s="14" t="inlineStr">
        <is>
          <t>FE-LITE</t>
        </is>
      </c>
      <c r="C47" s="14" t="inlineStr">
        <is>
          <t>Lite Home และ navigation (HP-03, HP-06 · task 0.14, 0.28–0.30)</t>
        </is>
      </c>
      <c r="D47" s="14" t="inlineStr">
        <is>
          <t>P1</t>
        </is>
      </c>
      <c r="E47" s="14" t="inlineStr">
        <is>
          <t>badge แชท</t>
        </is>
      </c>
      <c r="F47" s="14" t="inlineStr">
        <is>
          <t>มีข้อความใหม่</t>
        </is>
      </c>
      <c r="G47" s="14" t="inlineStr">
        <is>
          <t>badge บนแท็บ Chat</t>
        </is>
      </c>
      <c r="H47" s="14" t="inlineStr">
        <is>
          <t>§10.2</t>
        </is>
      </c>
      <c r="I47" s="15" t="inlineStr">
        <is>
          <t>ยังไม่ทดสอบ</t>
        </is>
      </c>
      <c r="J47" s="14" t="inlineStr"/>
      <c r="K47" s="15" t="inlineStr"/>
      <c r="L47" s="16" t="inlineStr"/>
      <c r="M47" s="15" t="inlineStr"/>
      <c r="N47" s="15" t="inlineStr"/>
      <c r="O47" s="15" t="inlineStr"/>
    </row>
    <row r="48">
      <c r="A48" s="14" t="inlineStr">
        <is>
          <t>FE-LITE-04</t>
        </is>
      </c>
      <c r="B48" s="14" t="inlineStr">
        <is>
          <t>FE-LITE</t>
        </is>
      </c>
      <c r="C48" s="14" t="inlineStr">
        <is>
          <t>Lite Home และ navigation (HP-03, HP-06 · task 0.14, 0.28–0.30)</t>
        </is>
      </c>
      <c r="D48" s="14" t="inlineStr">
        <is>
          <t>P1</t>
        </is>
      </c>
      <c r="E48" s="14" t="inlineStr">
        <is>
          <t>หน้าย่อยซ่อนแท็บล่าง</t>
        </is>
      </c>
      <c r="F48" s="14" t="inlineStr">
        <is>
          <t>เปิดหน้าย่อย (Setting, Notification settings ฯลฯ)</t>
        </is>
      </c>
      <c r="G48" s="14" t="inlineStr">
        <is>
          <t>แท็บล่างหาย · ปุ่ม back กลับได้</t>
        </is>
      </c>
      <c r="H48" s="14" t="inlineStr">
        <is>
          <t>§10.6 ข้อ 8</t>
        </is>
      </c>
      <c r="I48" s="15" t="inlineStr">
        <is>
          <t>ยังไม่ทดสอบ</t>
        </is>
      </c>
      <c r="J48" s="14" t="inlineStr"/>
      <c r="K48" s="15" t="inlineStr"/>
      <c r="L48" s="16" t="inlineStr"/>
      <c r="M48" s="15" t="inlineStr"/>
      <c r="N48" s="15" t="inlineStr"/>
      <c r="O48" s="15" t="inlineStr"/>
    </row>
    <row r="49">
      <c r="A49" s="14" t="inlineStr">
        <is>
          <t>FE-LITE-05</t>
        </is>
      </c>
      <c r="B49" s="14" t="inlineStr">
        <is>
          <t>FE-LITE</t>
        </is>
      </c>
      <c r="C49" s="14" t="inlineStr">
        <is>
          <t>Lite Home และ navigation (HP-03, HP-06 · task 0.14, 0.28–0.30)</t>
        </is>
      </c>
      <c r="D49" s="14" t="inlineStr">
        <is>
          <t>P1</t>
        </is>
      </c>
      <c r="E49" s="14" t="inlineStr">
        <is>
          <t>back ของ Android / ปัดย้อน iOS</t>
        </is>
      </c>
      <c r="F49" s="14" t="inlineStr">
        <is>
          <t>กด back ของเครื่อง / ปัดจากขอบซ้าย</t>
        </is>
      </c>
      <c r="G49" s="14" t="inlineStr">
        <is>
          <t>ทำงานเหมือนปุ่ม back ในแอป</t>
        </is>
      </c>
      <c r="H49" s="14" t="inlineStr">
        <is>
          <t>§10.6 ข้อ 8</t>
        </is>
      </c>
      <c r="I49" s="15" t="inlineStr">
        <is>
          <t>ยังไม่ทดสอบ</t>
        </is>
      </c>
      <c r="J49" s="14" t="inlineStr"/>
      <c r="K49" s="15" t="inlineStr"/>
      <c r="L49" s="16" t="inlineStr"/>
      <c r="M49" s="15" t="inlineStr"/>
      <c r="N49" s="15" t="inlineStr"/>
      <c r="O49" s="15" t="inlineStr"/>
    </row>
    <row r="50">
      <c r="A50" s="14" t="inlineStr">
        <is>
          <t>FE-LITE-06</t>
        </is>
      </c>
      <c r="B50" s="14" t="inlineStr">
        <is>
          <t>FE-LITE</t>
        </is>
      </c>
      <c r="C50" s="14" t="inlineStr">
        <is>
          <t>Lite Home และ navigation (HP-03, HP-06 · task 0.14, 0.28–0.30)</t>
        </is>
      </c>
      <c r="D50" s="14" t="inlineStr">
        <is>
          <t>P1</t>
        </is>
      </c>
      <c r="E50" s="14" t="inlineStr">
        <is>
          <t>รายการ workspace</t>
        </is>
      </c>
      <c r="F50" s="14" t="inlineStr">
        <is>
          <t>แตะ chevron ข้างชื่อ workspace</t>
        </is>
      </c>
      <c r="G50" s="14" t="inlineStr">
        <is>
          <t>หน้าเต็มจอ Workspace lists · ค้นหา · filter เวลา · join ด้วย link</t>
        </is>
      </c>
      <c r="H50" s="14" t="inlineStr">
        <is>
          <t>§10.2</t>
        </is>
      </c>
      <c r="I50" s="15" t="inlineStr">
        <is>
          <t>ยังไม่ทดสอบ</t>
        </is>
      </c>
      <c r="J50" s="14" t="inlineStr"/>
      <c r="K50" s="15" t="inlineStr"/>
      <c r="L50" s="16" t="inlineStr"/>
      <c r="M50" s="15" t="inlineStr"/>
      <c r="N50" s="15" t="inlineStr"/>
      <c r="O50" s="15" t="inlineStr"/>
    </row>
    <row r="51">
      <c r="A51" s="14" t="inlineStr">
        <is>
          <t>FE-LITE-07</t>
        </is>
      </c>
      <c r="B51" s="14" t="inlineStr">
        <is>
          <t>FE-LITE</t>
        </is>
      </c>
      <c r="C51" s="14" t="inlineStr">
        <is>
          <t>Lite Home และ navigation (HP-03, HP-06 · task 0.14, 0.28–0.30)</t>
        </is>
      </c>
      <c r="D51" s="14" t="inlineStr">
        <is>
          <t>P1</t>
        </is>
      </c>
      <c r="E51" s="14" t="inlineStr">
        <is>
          <t>Notification</t>
        </is>
      </c>
      <c r="F51" s="14" t="inlineStr">
        <is>
          <t>แตะกระดิ่ง</t>
        </is>
      </c>
      <c r="G51" s="14" t="inlineStr">
        <is>
          <t>หน้าเต็มจอ All / Unread · Mark as read · กลุ่ม Today / Yesterday · ยังไม่อ่าน = พื้นอ่อนกว่า</t>
        </is>
      </c>
      <c r="H51" s="14" t="inlineStr">
        <is>
          <t>task 0.29</t>
        </is>
      </c>
      <c r="I51" s="15" t="inlineStr">
        <is>
          <t>ยังไม่ทดสอบ</t>
        </is>
      </c>
      <c r="J51" s="14" t="inlineStr"/>
      <c r="K51" s="15" t="inlineStr"/>
      <c r="L51" s="16" t="inlineStr"/>
      <c r="M51" s="15" t="inlineStr"/>
      <c r="N51" s="15" t="inlineStr"/>
      <c r="O51" s="15" t="inlineStr"/>
    </row>
    <row r="52">
      <c r="A52" s="14" t="inlineStr">
        <is>
          <t>FE-LITE-08</t>
        </is>
      </c>
      <c r="B52" s="14" t="inlineStr">
        <is>
          <t>FE-LITE</t>
        </is>
      </c>
      <c r="C52" s="14" t="inlineStr">
        <is>
          <t>Lite Home และ navigation (HP-03, HP-06 · task 0.14, 0.28–0.30)</t>
        </is>
      </c>
      <c r="D52" s="14" t="inlineStr">
        <is>
          <t>P1</t>
        </is>
      </c>
      <c r="E52" s="14" t="inlineStr">
        <is>
          <t>Profile + สถานะ 4 แบบ</t>
        </is>
      </c>
      <c r="F52" s="14" t="inlineStr">
        <is>
          <t>แท็บ Profile → เปลี่ยนสถานะ</t>
        </is>
      </c>
      <c r="G52" s="14" t="inlineStr">
        <is>
          <t>Active / Busy / Away / Do not disturb + custom status · สถานะเปลี่ยนบนเครื่องอื่นด้วย</t>
        </is>
      </c>
      <c r="H52" s="14" t="inlineStr">
        <is>
          <t>§10.6 ข้อ 5</t>
        </is>
      </c>
      <c r="I52" s="15" t="inlineStr">
        <is>
          <t>ยังไม่ทดสอบ</t>
        </is>
      </c>
      <c r="J52" s="14" t="inlineStr"/>
      <c r="K52" s="15" t="inlineStr"/>
      <c r="L52" s="16" t="inlineStr"/>
      <c r="M52" s="15" t="inlineStr"/>
      <c r="N52" s="15" t="inlineStr"/>
      <c r="O52" s="15" t="inlineStr">
        <is>
          <t>🎨 แถว DND</t>
        </is>
      </c>
    </row>
    <row r="53">
      <c r="A53" s="14" t="inlineStr">
        <is>
          <t>FE-LITE-09</t>
        </is>
      </c>
      <c r="B53" s="14" t="inlineStr">
        <is>
          <t>FE-LITE</t>
        </is>
      </c>
      <c r="C53" s="14" t="inlineStr">
        <is>
          <t>Lite Home และ navigation (HP-03, HP-06 · task 0.14, 0.28–0.30)</t>
        </is>
      </c>
      <c r="D53" s="14" t="inlineStr">
        <is>
          <t>P1</t>
        </is>
      </c>
      <c r="E53" s="14" t="inlineStr">
        <is>
          <t>Setting ตามสิทธิ์</t>
        </is>
      </c>
      <c r="F53" s="14" t="inlineStr">
        <is>
          <t>เข้า Setting ด้วย Member และ Owner/Admin</t>
        </is>
      </c>
      <c r="G53" s="14" t="inlineStr">
        <is>
          <t>Member ไม่เห็น Manage member / Environment · Owner/Admin เห็น</t>
        </is>
      </c>
      <c r="H53" s="14" t="inlineStr">
        <is>
          <t>§10.6 ข้อ 6</t>
        </is>
      </c>
      <c r="I53" s="15" t="inlineStr">
        <is>
          <t>ยังไม่ทดสอบ</t>
        </is>
      </c>
      <c r="J53" s="14" t="inlineStr"/>
      <c r="K53" s="15" t="inlineStr"/>
      <c r="L53" s="16" t="inlineStr"/>
      <c r="M53" s="15" t="inlineStr"/>
      <c r="N53" s="15" t="inlineStr"/>
      <c r="O53" s="15" t="inlineStr"/>
    </row>
    <row r="54">
      <c r="A54" s="14" t="inlineStr">
        <is>
          <t>FE-LITE-10</t>
        </is>
      </c>
      <c r="B54" s="14" t="inlineStr">
        <is>
          <t>FE-LITE</t>
        </is>
      </c>
      <c r="C54" s="14" t="inlineStr">
        <is>
          <t>Lite Home และ navigation (HP-03, HP-06 · task 0.14, 0.28–0.30)</t>
        </is>
      </c>
      <c r="D54" s="14" t="inlineStr">
        <is>
          <t>P1</t>
        </is>
      </c>
      <c r="E54" s="14" t="inlineStr">
        <is>
          <t>Switch workspace / Log out</t>
        </is>
      </c>
      <c r="F54" s="14" t="inlineStr">
        <is>
          <t>กดจาก Profile</t>
        </is>
      </c>
      <c r="G54" s="14" t="inlineStr">
        <is>
          <t>Switch กลับ Space builder · Log out ล้าง session และลบ push token ของเครื่อง</t>
        </is>
      </c>
      <c r="H54" s="14" t="inlineStr">
        <is>
          <t>task 0.30, 1.8</t>
        </is>
      </c>
      <c r="I54" s="15" t="inlineStr">
        <is>
          <t>ยังไม่ทดสอบ</t>
        </is>
      </c>
      <c r="J54" s="14" t="inlineStr"/>
      <c r="K54" s="15" t="inlineStr"/>
      <c r="L54" s="16" t="inlineStr"/>
      <c r="M54" s="15" t="inlineStr"/>
      <c r="N54" s="15" t="inlineStr"/>
      <c r="O54" s="15" t="inlineStr"/>
    </row>
    <row r="55">
      <c r="A55" s="14" t="inlineStr">
        <is>
          <t>FE-LITE-11</t>
        </is>
      </c>
      <c r="B55" s="14" t="inlineStr">
        <is>
          <t>FE-LITE</t>
        </is>
      </c>
      <c r="C55" s="14" t="inlineStr">
        <is>
          <t>Lite Home และ navigation (HP-03, HP-06 · task 0.14, 0.28–0.30)</t>
        </is>
      </c>
      <c r="D55" s="14" t="inlineStr">
        <is>
          <t>P1</t>
        </is>
      </c>
      <c r="E55" s="14" t="inlineStr">
        <is>
          <t>ฟีเจอร์ที่ยังไม่มีถูกซ่อน</t>
        </is>
      </c>
      <c r="F55" s="14" t="inlineStr">
        <is>
          <t>ไล่ดู Lite Home, Spatial, Meeting, Profile</t>
        </is>
      </c>
      <c r="G55" s="14" t="inlineStr">
        <is>
          <t>ไม่มีทางเข้า Tarot, Participation Dashboard, Quiz / Poll, AI Meeting Summary, Meeting alert · ไม่มีคำว่า Coming soon ที่ไหนเลย</t>
        </is>
      </c>
      <c r="H55" s="14" t="inlineStr">
        <is>
          <t>§19.7</t>
        </is>
      </c>
      <c r="I55" s="15" t="inlineStr">
        <is>
          <t>ยังไม่ทดสอบ</t>
        </is>
      </c>
      <c r="J55" s="14" t="inlineStr"/>
      <c r="K55" s="15" t="inlineStr"/>
      <c r="L55" s="16" t="inlineStr"/>
      <c r="M55" s="15" t="inlineStr"/>
      <c r="N55" s="15" t="inlineStr"/>
      <c r="O55" s="15" t="inlineStr"/>
    </row>
    <row r="56">
      <c r="A56" s="14" t="inlineStr">
        <is>
          <t>FE-LITE-12</t>
        </is>
      </c>
      <c r="B56" s="14" t="inlineStr">
        <is>
          <t>FE-LITE</t>
        </is>
      </c>
      <c r="C56" s="14" t="inlineStr">
        <is>
          <t>Lite Home และ navigation (HP-03, HP-06 · task 0.14, 0.28–0.30)</t>
        </is>
      </c>
      <c r="D56" s="14" t="inlineStr">
        <is>
          <t>P1</t>
        </is>
      </c>
      <c r="E56" s="14" t="inlineStr">
        <is>
          <t>Calendar ซ่อนทุกที่</t>
        </is>
      </c>
      <c r="F56" s="14" t="inlineStr">
        <is>
          <t>ดูแท็บล่าง, ปุ่มกลม Spatial, Notification settings</t>
        </is>
      </c>
      <c r="G56" s="14" t="inlineStr">
        <is>
          <t>ไม่มี Calendar ทั้ง 3 จุด</t>
        </is>
      </c>
      <c r="H56" s="14" t="inlineStr">
        <is>
          <t>§10.6 ข้อ 7</t>
        </is>
      </c>
      <c r="I56" s="15" t="inlineStr">
        <is>
          <t>ยังไม่ทดสอบ</t>
        </is>
      </c>
      <c r="J56" s="14" t="inlineStr"/>
      <c r="K56" s="15" t="inlineStr"/>
      <c r="L56" s="16" t="inlineStr"/>
      <c r="M56" s="15" t="inlineStr"/>
      <c r="N56" s="15" t="inlineStr"/>
      <c r="O56" s="15" t="inlineStr"/>
    </row>
    <row r="57">
      <c r="A57" s="14" t="inlineStr">
        <is>
          <t>FE-LITE-13</t>
        </is>
      </c>
      <c r="B57" s="14" t="inlineStr">
        <is>
          <t>FE-LITE</t>
        </is>
      </c>
      <c r="C57" s="14" t="inlineStr">
        <is>
          <t>Lite Home และ navigation (HP-03, HP-06 · task 0.14, 0.28–0.30)</t>
        </is>
      </c>
      <c r="D57" s="14" t="inlineStr">
        <is>
          <t>P1</t>
        </is>
      </c>
      <c r="E57" s="14" t="inlineStr">
        <is>
          <t>แตะสมาชิก / แตะ Circle ใน Lite</t>
        </is>
      </c>
      <c r="F57" s="14" t="inlineStr">
        <is>
          <t>แตะคนในรายชื่อ (คนว่าง และคนที่อยู่ในห้อง) · แตะ Circle</t>
        </is>
      </c>
      <c r="G57" s="14" t="inlineStr">
        <is>
          <t>sheet โปรไฟล์มี Message / Wave · คนที่อยู่ในห้องมี Join ด้วย · ไม่มี Follow · แตะ Circle ได้ sheet "Join Circle" → เข้า Circle ได้</t>
        </is>
      </c>
      <c r="H57" s="14" t="inlineStr">
        <is>
          <t>§22.2 · task 0.59</t>
        </is>
      </c>
      <c r="I57" s="15" t="inlineStr">
        <is>
          <t>Blocked</t>
        </is>
      </c>
      <c r="J57" s="14" t="inlineStr">
        <is>
          <t>รอ UI จาก design</t>
        </is>
      </c>
      <c r="K57" s="15" t="inlineStr"/>
      <c r="L57" s="16" t="inlineStr"/>
      <c r="M57" s="15" t="inlineStr"/>
      <c r="N57" s="15" t="inlineStr"/>
      <c r="O57" s="15" t="inlineStr"/>
    </row>
    <row r="58">
      <c r="A58" s="14" t="inlineStr">
        <is>
          <t>FE-LITE-14</t>
        </is>
      </c>
      <c r="B58" s="14" t="inlineStr">
        <is>
          <t>FE-LITE</t>
        </is>
      </c>
      <c r="C58" s="14" t="inlineStr">
        <is>
          <t>Lite Home และ navigation (HP-03, HP-06 · task 0.14, 0.28–0.30)</t>
        </is>
      </c>
      <c r="D58" s="14" t="inlineStr">
        <is>
          <t>P0</t>
        </is>
      </c>
      <c r="E58" s="14" t="inlineStr">
        <is>
          <t>ลบบัญชีในแอป</t>
        </is>
      </c>
      <c r="F58" s="14" t="inlineStr">
        <is>
          <t>Profile → Account and Security → Delete account · พิมพ์อีเมลผิดแล้วถูก → Delete my account</t>
        </is>
      </c>
      <c r="G58" s="14" t="inlineStr">
        <is>
          <t>ปุ่มกดไม่ได้จนอีเมลตรง (ไม่สนตัวพิมพ์) · หน้าบอก workspace ที่จะโอนให้ใคร / ถูกลบ · ลบแล้วออกจากระบบไป Get started + toast "Your account has been deleted." · login ด้วยบัญชีเดิมไม่ได้</t>
        </is>
      </c>
      <c r="H58" s="14" t="inlineStr">
        <is>
          <t>§20 · task 0.55</t>
        </is>
      </c>
      <c r="I58" s="15" t="inlineStr">
        <is>
          <t>Blocked</t>
        </is>
      </c>
      <c r="J58" s="14" t="inlineStr">
        <is>
          <t>รอ UI จาก design</t>
        </is>
      </c>
      <c r="K58" s="15" t="inlineStr"/>
      <c r="L58" s="16" t="inlineStr"/>
      <c r="M58" s="15" t="inlineStr"/>
      <c r="N58" s="15" t="inlineStr"/>
      <c r="O58" s="15" t="inlineStr"/>
    </row>
    <row r="59">
      <c r="A59" s="14" t="inlineStr">
        <is>
          <t>FE-LITE-15</t>
        </is>
      </c>
      <c r="B59" s="14" t="inlineStr">
        <is>
          <t>FE-LITE</t>
        </is>
      </c>
      <c r="C59" s="14" t="inlineStr">
        <is>
          <t>Lite Home และ navigation (HP-03, HP-06 · task 0.14, 0.28–0.30)</t>
        </is>
      </c>
      <c r="D59" s="14" t="inlineStr">
        <is>
          <t>P1</t>
        </is>
      </c>
      <c r="E59" s="14" t="inlineStr">
        <is>
          <t>DM กับบัญชีที่ถูกลบ</t>
        </is>
      </c>
      <c r="F59" s="14" t="inlineStr">
        <is>
          <t>เปิด DM กับคนที่ลบบัญชีไปแล้ว</t>
        </is>
      </c>
      <c r="G59" s="14" t="inlineStr">
        <is>
          <t>เห็นข้อความเก่า ชื่อเป็น "Deleted user" · ช่องพิมพ์ปิด ขึ้น "This account has been deleted"</t>
        </is>
      </c>
      <c r="H59" s="14" t="inlineStr">
        <is>
          <t>§20.6</t>
        </is>
      </c>
      <c r="I59" s="15" t="inlineStr">
        <is>
          <t>Blocked</t>
        </is>
      </c>
      <c r="J59" s="14" t="inlineStr">
        <is>
          <t>รอ UI จาก design</t>
        </is>
      </c>
      <c r="K59" s="15" t="inlineStr"/>
      <c r="L59" s="16" t="inlineStr"/>
      <c r="M59" s="15" t="inlineStr"/>
      <c r="N59" s="15" t="inlineStr"/>
      <c r="O59" s="15" t="inlineStr"/>
    </row>
    <row r="60">
      <c r="A60" s="14" t="inlineStr">
        <is>
          <t>FE-LITE-16</t>
        </is>
      </c>
      <c r="B60" s="14" t="inlineStr">
        <is>
          <t>FE-LITE</t>
        </is>
      </c>
      <c r="C60" s="14" t="inlineStr">
        <is>
          <t>Lite Home และ navigation (HP-03, HP-06 · task 0.14, 0.28–0.30)</t>
        </is>
      </c>
      <c r="D60" s="14" t="inlineStr">
        <is>
          <t>P2</t>
        </is>
      </c>
      <c r="E60" s="14" t="inlineStr">
        <is>
          <t>หน้าว่าง</t>
        </is>
      </c>
      <c r="F60" s="14" t="inlineStr">
        <is>
          <t>workspace ที่ไม่มีแชท / ไม่มี notification · ค้นหาคำที่ไม่มี</t>
        </is>
      </c>
      <c r="G60" s="14" t="inlineStr">
        <is>
          <t>"No conversations yet" + ปุ่ม Start a new chat · "You're all caught up" · "No results for "&lt;คำค้น&gt;"" · "No threads yet"</t>
        </is>
      </c>
      <c r="H60" s="14" t="inlineStr">
        <is>
          <t>§22.3</t>
        </is>
      </c>
      <c r="I60" s="15" t="inlineStr">
        <is>
          <t>Blocked</t>
        </is>
      </c>
      <c r="J60" s="14" t="inlineStr">
        <is>
          <t>รอ UI จาก design</t>
        </is>
      </c>
      <c r="K60" s="15" t="inlineStr"/>
      <c r="L60" s="16" t="inlineStr"/>
      <c r="M60" s="15" t="inlineStr"/>
      <c r="N60" s="15" t="inlineStr"/>
      <c r="O60" s="15" t="inlineStr"/>
    </row>
    <row r="61">
      <c r="A61" s="14" t="inlineStr">
        <is>
          <t>FE-LITE-17</t>
        </is>
      </c>
      <c r="B61" s="14" t="inlineStr">
        <is>
          <t>FE-LITE</t>
        </is>
      </c>
      <c r="C61" s="14" t="inlineStr">
        <is>
          <t>Lite Home และ navigation (HP-03, HP-06 · task 0.14, 0.28–0.30)</t>
        </is>
      </c>
      <c r="D61" s="14" t="inlineStr">
        <is>
          <t>P1</t>
        </is>
      </c>
      <c r="E61" s="14" t="inlineStr">
        <is>
          <t>แก้โปรไฟล์ + เลือกตัวละคร</t>
        </is>
      </c>
      <c r="F61" s="14" t="inlineStr">
        <is>
          <t>Profile → การ์ดสถานะ → แก้ชื่อ รูป status → Save · Change character</t>
        </is>
      </c>
      <c r="G61" s="14" t="inlineStr">
        <is>
          <t>Save กดได้เมื่อแก้ · toast "Profile updated" · รูปใหม่ขึ้นทุกที่ · เลือกตัวละครแล้วตัวบนแมพเปลี่ยน</t>
        </is>
      </c>
      <c r="H61" s="14" t="inlineStr">
        <is>
          <t>§22.3 · task 0.61</t>
        </is>
      </c>
      <c r="I61" s="15" t="inlineStr">
        <is>
          <t>Blocked</t>
        </is>
      </c>
      <c r="J61" s="14" t="inlineStr">
        <is>
          <t>รอ UI จาก design</t>
        </is>
      </c>
      <c r="K61" s="15" t="inlineStr"/>
      <c r="L61" s="16" t="inlineStr"/>
      <c r="M61" s="15" t="inlineStr"/>
      <c r="N61" s="15" t="inlineStr"/>
      <c r="O61" s="15" t="inlineStr"/>
    </row>
    <row r="62">
      <c r="A62" s="14" t="inlineStr">
        <is>
          <t>FE-VO-01</t>
        </is>
      </c>
      <c r="B62" s="14" t="inlineStr">
        <is>
          <t>FE-VO</t>
        </is>
      </c>
      <c r="C62" s="14" t="inlineStr">
        <is>
          <t>Spatial Mode บนแมพ (HP-03 · task 0.3–0.7)</t>
        </is>
      </c>
      <c r="D62" s="14" t="inlineStr">
        <is>
          <t>P0</t>
        </is>
      </c>
      <c r="E62" s="14" t="inlineStr">
        <is>
          <t>joystick</t>
        </is>
      </c>
      <c r="F62" s="14" t="inlineStr">
        <is>
          <t>ลาก joystick ซ้ายล่าง</t>
        </is>
      </c>
      <c r="G62" s="14" t="inlineStr">
        <is>
          <t>avatar เดินตามทิศ · ขนาด 128×140</t>
        </is>
      </c>
      <c r="H62" s="14" t="inlineStr">
        <is>
          <t>task 0.3</t>
        </is>
      </c>
      <c r="I62" s="15" t="inlineStr">
        <is>
          <t>ยังไม่ทดสอบ</t>
        </is>
      </c>
      <c r="J62" s="14" t="inlineStr"/>
      <c r="K62" s="15" t="inlineStr"/>
      <c r="L62" s="16" t="inlineStr"/>
      <c r="M62" s="15" t="inlineStr"/>
      <c r="N62" s="15" t="inlineStr"/>
      <c r="O62" s="15" t="inlineStr"/>
    </row>
    <row r="63">
      <c r="A63" s="14" t="inlineStr">
        <is>
          <t>FE-VO-02</t>
        </is>
      </c>
      <c r="B63" s="14" t="inlineStr">
        <is>
          <t>FE-VO</t>
        </is>
      </c>
      <c r="C63" s="14" t="inlineStr">
        <is>
          <t>Spatial Mode บนแมพ (HP-03 · task 0.3–0.7)</t>
        </is>
      </c>
      <c r="D63" s="14" t="inlineStr">
        <is>
          <t>P0</t>
        </is>
      </c>
      <c r="E63" s="14" t="inlineStr">
        <is>
          <t>tap-to-walk</t>
        </is>
      </c>
      <c r="F63" s="14" t="inlineStr">
        <is>
          <t>แตะพื้นแมพ</t>
        </is>
      </c>
      <c r="G63" s="14" t="inlineStr">
        <is>
          <t>avatar เดินไปจุดนั้น · ไม่สับสนกับการลาก / pinch</t>
        </is>
      </c>
      <c r="H63" s="14" t="inlineStr">
        <is>
          <t>task 0.4</t>
        </is>
      </c>
      <c r="I63" s="15" t="inlineStr">
        <is>
          <t>ยังไม่ทดสอบ</t>
        </is>
      </c>
      <c r="J63" s="14" t="inlineStr"/>
      <c r="K63" s="15" t="inlineStr"/>
      <c r="L63" s="16" t="inlineStr"/>
      <c r="M63" s="15" t="inlineStr"/>
      <c r="N63" s="15" t="inlineStr"/>
      <c r="O63" s="15" t="inlineStr"/>
    </row>
    <row r="64">
      <c r="A64" s="14" t="inlineStr">
        <is>
          <t>FE-VO-03</t>
        </is>
      </c>
      <c r="B64" s="14" t="inlineStr">
        <is>
          <t>FE-VO</t>
        </is>
      </c>
      <c r="C64" s="14" t="inlineStr">
        <is>
          <t>Spatial Mode บนแมพ (HP-03 · task 0.3–0.7)</t>
        </is>
      </c>
      <c r="D64" s="14" t="inlineStr">
        <is>
          <t>P1</t>
        </is>
      </c>
      <c r="E64" s="14" t="inlineStr">
        <is>
          <t>pinch zoom / pan</t>
        </is>
      </c>
      <c r="F64" s="14" t="inlineStr">
        <is>
          <t>ใช้ 2 นิ้ว</t>
        </is>
      </c>
      <c r="G64" s="14" t="inlineStr">
        <is>
          <t>zoom ได้ ไม่ทำให้เดิน</t>
        </is>
      </c>
      <c r="H64" s="14" t="inlineStr">
        <is>
          <t>task 0.4</t>
        </is>
      </c>
      <c r="I64" s="15" t="inlineStr">
        <is>
          <t>ยังไม่ทดสอบ</t>
        </is>
      </c>
      <c r="J64" s="14" t="inlineStr"/>
      <c r="K64" s="15" t="inlineStr"/>
      <c r="L64" s="16" t="inlineStr"/>
      <c r="M64" s="15" t="inlineStr"/>
      <c r="N64" s="15" t="inlineStr"/>
      <c r="O64" s="15" t="inlineStr"/>
    </row>
    <row r="65">
      <c r="A65" s="14" t="inlineStr">
        <is>
          <t>FE-VO-04</t>
        </is>
      </c>
      <c r="B65" s="14" t="inlineStr">
        <is>
          <t>FE-VO</t>
        </is>
      </c>
      <c r="C65" s="14" t="inlineStr">
        <is>
          <t>Spatial Mode บนแมพ (HP-03 · task 0.3–0.7)</t>
        </is>
      </c>
      <c r="D65" s="14" t="inlineStr">
        <is>
          <t>P1</t>
        </is>
      </c>
      <c r="E65" s="14" t="inlineStr">
        <is>
          <t>HUD</t>
        </is>
      </c>
      <c r="F65" s="14" t="inlineStr">
        <is>
          <t>ดูหน้าจอ</t>
        </is>
      </c>
      <c r="G65" s="14" t="inlineStr">
        <is>
          <t>ปุ่มกลมขวาบน 4 ปุ่ม (weather, megaphone, members, notifications) · chat ซ้ายล่าง · minimap 169×100 ขวาล่าง · Meeting Menu กลางล่าง</t>
        </is>
      </c>
      <c r="H65" s="14" t="inlineStr">
        <is>
          <t>§3.9</t>
        </is>
      </c>
      <c r="I65" s="15" t="inlineStr">
        <is>
          <t>ยังไม่ทดสอบ</t>
        </is>
      </c>
      <c r="J65" s="14" t="inlineStr"/>
      <c r="K65" s="15" t="inlineStr"/>
      <c r="L65" s="16" t="inlineStr"/>
      <c r="M65" s="15" t="inlineStr"/>
      <c r="N65" s="15" t="inlineStr"/>
      <c r="O65" s="15" t="inlineStr"/>
    </row>
    <row r="66">
      <c r="A66" s="14" t="inlineStr">
        <is>
          <t>FE-VO-05</t>
        </is>
      </c>
      <c r="B66" s="14" t="inlineStr">
        <is>
          <t>FE-VO</t>
        </is>
      </c>
      <c r="C66" s="14" t="inlineStr">
        <is>
          <t>Spatial Mode บนแมพ (HP-03 · task 0.3–0.7)</t>
        </is>
      </c>
      <c r="D66" s="14" t="inlineStr">
        <is>
          <t>P0</t>
        </is>
      </c>
      <c r="E66" s="14" t="inlineStr">
        <is>
          <t>นั่งเก้าอี้ / เข้า zone / private zone</t>
        </is>
      </c>
      <c r="F66" s="14" t="inlineStr">
        <is>
          <t>เดินไปนั่งและเข้า zone</t>
        </is>
      </c>
      <c r="G66" s="14" t="inlineStr">
        <is>
          <t>ทำได้เหมือน desktop · คนบนเครื่องอื่นเห็นตรงกัน</t>
        </is>
      </c>
      <c r="H66" s="14" t="inlineStr">
        <is>
          <t>spec SC-MOB-04</t>
        </is>
      </c>
      <c r="I66" s="15" t="inlineStr">
        <is>
          <t>ยังไม่ทดสอบ</t>
        </is>
      </c>
      <c r="J66" s="14" t="inlineStr"/>
      <c r="K66" s="15" t="inlineStr"/>
      <c r="L66" s="16" t="inlineStr"/>
      <c r="M66" s="15" t="inlineStr"/>
      <c r="N66" s="15" t="inlineStr"/>
      <c r="O66" s="15" t="inlineStr"/>
    </row>
    <row r="67">
      <c r="A67" s="14" t="inlineStr">
        <is>
          <t>FE-VO-06</t>
        </is>
      </c>
      <c r="B67" s="14" t="inlineStr">
        <is>
          <t>FE-VO</t>
        </is>
      </c>
      <c r="C67" s="14" t="inlineStr">
        <is>
          <t>Spatial Mode บนแมพ (HP-03 · task 0.3–0.7)</t>
        </is>
      </c>
      <c r="D67" s="14" t="inlineStr">
        <is>
          <t>P1</t>
        </is>
      </c>
      <c r="E67" s="14" t="inlineStr">
        <is>
          <t>wave / knock / follow</t>
        </is>
      </c>
      <c r="F67" s="14" t="inlineStr">
        <is>
          <t>ใช้กับคนอื่นจากมือถือ</t>
        </is>
      </c>
      <c r="G67" s="14" t="inlineStr">
        <is>
          <t>ทำงานเหมือน desktop · มี haptic</t>
        </is>
      </c>
      <c r="H67" s="14" t="inlineStr">
        <is>
          <t>spec SC-MOB-04, task 1.10</t>
        </is>
      </c>
      <c r="I67" s="15" t="inlineStr">
        <is>
          <t>ยังไม่ทดสอบ</t>
        </is>
      </c>
      <c r="J67" s="14" t="inlineStr"/>
      <c r="K67" s="15" t="inlineStr"/>
      <c r="L67" s="16" t="inlineStr"/>
      <c r="M67" s="15" t="inlineStr"/>
      <c r="N67" s="15" t="inlineStr"/>
      <c r="O67" s="15" t="inlineStr"/>
    </row>
    <row r="68">
      <c r="A68" s="14" t="inlineStr">
        <is>
          <t>FE-VO-07</t>
        </is>
      </c>
      <c r="B68" s="14" t="inlineStr">
        <is>
          <t>FE-VO</t>
        </is>
      </c>
      <c r="C68" s="14" t="inlineStr">
        <is>
          <t>Spatial Mode บนแมพ (HP-03 · task 0.3–0.7)</t>
        </is>
      </c>
      <c r="D68" s="14" t="inlineStr">
        <is>
          <t>P1</t>
        </is>
      </c>
      <c r="E68" s="14" t="inlineStr">
        <is>
          <t>แชทแนวนอน</t>
        </is>
      </c>
      <c r="F68" s="14" t="inlineStr">
        <is>
          <t>กดปุ่มแชท</t>
        </is>
      </c>
      <c r="G68" s="14" t="inlineStr">
        <is>
          <t>overlay 2 คอลัมน์ทับแมพ · แมพยังเคลื่อนไหว</t>
        </is>
      </c>
      <c r="H68" s="14" t="inlineStr">
        <is>
          <t>§9.6 ข้อ 6</t>
        </is>
      </c>
      <c r="I68" s="15" t="inlineStr">
        <is>
          <t>ยังไม่ทดสอบ</t>
        </is>
      </c>
      <c r="J68" s="14" t="inlineStr"/>
      <c r="K68" s="15" t="inlineStr"/>
      <c r="L68" s="16" t="inlineStr"/>
      <c r="M68" s="15" t="inlineStr"/>
      <c r="N68" s="15" t="inlineStr"/>
      <c r="O68" s="15" t="inlineStr"/>
    </row>
    <row r="69">
      <c r="A69" s="14" t="inlineStr">
        <is>
          <t>FE-VO-08</t>
        </is>
      </c>
      <c r="B69" s="14" t="inlineStr">
        <is>
          <t>FE-VO</t>
        </is>
      </c>
      <c r="C69" s="14" t="inlineStr">
        <is>
          <t>Spatial Mode บนแมพ (HP-03 · task 0.3–0.7)</t>
        </is>
      </c>
      <c r="D69" s="14" t="inlineStr">
        <is>
          <t>P1</t>
        </is>
      </c>
      <c r="E69" s="14" t="inlineStr">
        <is>
          <t>Profile / Notification / Workspace lists แนวนอน</t>
        </is>
      </c>
      <c r="F69" s="14" t="inlineStr">
        <is>
          <t>กดปุ่มกระดิ่งบนแมพ · แตะพื้นที่ข้างนอก</t>
        </is>
      </c>
      <c r="G69" s="14" t="inlineStr">
        <is>
          <t>Notification เป็น drawer กว้าง 390 สูงเต็มจอ เลื่อนจากขวา · Mark all as read อยู่แถวเดียวกับแท็บ All / Unread ชิดขวา · แตะข้างนอกแล้วปิด · Profile เต็มจอมีปุ่ม ×</t>
        </is>
      </c>
      <c r="H69" s="14" t="inlineStr">
        <is>
          <t>§10.6 ข้อ 4, §19.2</t>
        </is>
      </c>
      <c r="I69" s="15" t="inlineStr">
        <is>
          <t>Blocked</t>
        </is>
      </c>
      <c r="J69" s="14" t="inlineStr">
        <is>
          <t>รอ UI จาก design</t>
        </is>
      </c>
      <c r="K69" s="15" t="inlineStr"/>
      <c r="L69" s="16" t="inlineStr"/>
      <c r="M69" s="15" t="inlineStr"/>
      <c r="N69" s="15" t="inlineStr"/>
      <c r="O69" s="15" t="inlineStr"/>
    </row>
    <row r="70">
      <c r="A70" s="14" t="inlineStr">
        <is>
          <t>FE-VO-09</t>
        </is>
      </c>
      <c r="B70" s="14" t="inlineStr">
        <is>
          <t>FE-VO</t>
        </is>
      </c>
      <c r="C70" s="14" t="inlineStr">
        <is>
          <t>Spatial Mode บนแมพ (HP-03 · task 0.3–0.7)</t>
        </is>
      </c>
      <c r="D70" s="14" t="inlineStr">
        <is>
          <t>P1</t>
        </is>
      </c>
      <c r="E70" s="14" t="inlineStr">
        <is>
          <t>Lite user บนแมพ (ดูจาก Spatial/desktop)</t>
        </is>
      </c>
      <c r="F70" s="14" t="inlineStr">
        <is>
          <t>ให้อีกคนเข้า Lite</t>
        </is>
      </c>
      <c r="G70" s="14" t="inlineStr">
        <is>
          <t>ไม่เห็น avatar ของคน Lite จนกว่าเขาจะเข้า meeting · เข้าแล้ว avatar โผล่ที่จุดเกิดแล้วเดินไปห้อง</t>
        </is>
      </c>
      <c r="H70" s="14" t="inlineStr">
        <is>
          <t>TD §16.2</t>
        </is>
      </c>
      <c r="I70" s="15" t="inlineStr">
        <is>
          <t>ยังไม่ทดสอบ</t>
        </is>
      </c>
      <c r="J70" s="14" t="inlineStr"/>
      <c r="K70" s="15" t="inlineStr"/>
      <c r="L70" s="16" t="inlineStr"/>
      <c r="M70" s="15" t="inlineStr"/>
      <c r="N70" s="15" t="inlineStr"/>
      <c r="O70" s="15" t="inlineStr"/>
    </row>
    <row r="71">
      <c r="A71" s="14" t="inlineStr">
        <is>
          <t>FE-MEET-01</t>
        </is>
      </c>
      <c r="B71" s="14" t="inlineStr">
        <is>
          <t>FE-MEET</t>
        </is>
      </c>
      <c r="C71" s="14" t="inlineStr">
        <is>
          <t>Meeting (HP-04 · task 0.8, 0.17–0.20, 0.45)</t>
        </is>
      </c>
      <c r="D71" s="14" t="inlineStr">
        <is>
          <t>P0</t>
        </is>
      </c>
      <c r="E71" s="14" t="inlineStr">
        <is>
          <t>เข้า meeting จาก Lite</t>
        </is>
      </c>
      <c r="F71" s="14" t="inlineStr">
        <is>
          <t>แตะการ์ดห้องใน In meeting</t>
        </is>
      </c>
      <c r="G71" s="14" t="inlineStr">
        <is>
          <t>sheet Join meeting → Join → หน้า Meeting</t>
        </is>
      </c>
      <c r="H71" s="14" t="inlineStr">
        <is>
          <t>§8.2</t>
        </is>
      </c>
      <c r="I71" s="15" t="inlineStr">
        <is>
          <t>ยังไม่ทดสอบ</t>
        </is>
      </c>
      <c r="J71" s="14" t="inlineStr"/>
      <c r="K71" s="15" t="inlineStr"/>
      <c r="L71" s="16" t="inlineStr"/>
      <c r="M71" s="15" t="inlineStr"/>
      <c r="N71" s="15" t="inlineStr"/>
      <c r="O71" s="15" t="inlineStr"/>
    </row>
    <row r="72">
      <c r="A72" s="14" t="inlineStr">
        <is>
          <t>FE-MEET-02</t>
        </is>
      </c>
      <c r="B72" s="14" t="inlineStr">
        <is>
          <t>FE-MEET</t>
        </is>
      </c>
      <c r="C72" s="14" t="inlineStr">
        <is>
          <t>Meeting (HP-04 · task 0.8, 0.17–0.20, 0.45)</t>
        </is>
      </c>
      <c r="D72" s="14" t="inlineStr">
        <is>
          <t>P0</t>
        </is>
      </c>
      <c r="E72" s="14" t="inlineStr">
        <is>
          <t>Instant meeting</t>
        </is>
      </c>
      <c r="F72" s="14" t="inlineStr">
        <is>
          <t>กด Instant meeting</t>
        </is>
      </c>
      <c r="G72" s="14" t="inlineStr">
        <is>
          <t>เปิด meeting ห้องว่าง · ไม่มีห้องว่าง → sheet "All rooms are busy"</t>
        </is>
      </c>
      <c r="H72" s="14" t="inlineStr">
        <is>
          <t>§8.2</t>
        </is>
      </c>
      <c r="I72" s="15" t="inlineStr">
        <is>
          <t>ยังไม่ทดสอบ</t>
        </is>
      </c>
      <c r="J72" s="14" t="inlineStr"/>
      <c r="K72" s="15" t="inlineStr"/>
      <c r="L72" s="16" t="inlineStr"/>
      <c r="M72" s="15" t="inlineStr"/>
      <c r="N72" s="15" t="inlineStr"/>
      <c r="O72" s="15" t="inlineStr"/>
    </row>
    <row r="73">
      <c r="A73" s="14" t="inlineStr">
        <is>
          <t>FE-MEET-03</t>
        </is>
      </c>
      <c r="B73" s="14" t="inlineStr">
        <is>
          <t>FE-MEET</t>
        </is>
      </c>
      <c r="C73" s="14" t="inlineStr">
        <is>
          <t>Meeting (HP-04 · task 0.8, 0.17–0.20, 0.45)</t>
        </is>
      </c>
      <c r="D73" s="14" t="inlineStr">
        <is>
          <t>P0</t>
        </is>
      </c>
      <c r="E73" s="14" t="inlineStr">
        <is>
          <t>เข้า meeting จาก Spatial ด้วยการแตะห้อง</t>
        </is>
      </c>
      <c r="F73" s="14" t="inlineStr">
        <is>
          <t>แตะในห้อง meeting จากนอกห้อง</t>
        </is>
      </c>
      <c r="G73" s="14" t="inlineStr">
        <is>
          <t>modal Join meeting · Join → avatar เดินเข้าห้องเอง → เข้า meeting · Cancel = อยู่ที่เดิม</t>
        </is>
      </c>
      <c r="H73" s="14" t="inlineStr">
        <is>
          <t>§8.6 ข้อ 10</t>
        </is>
      </c>
      <c r="I73" s="15" t="inlineStr">
        <is>
          <t>ยังไม่ทดสอบ</t>
        </is>
      </c>
      <c r="J73" s="14" t="inlineStr"/>
      <c r="K73" s="15" t="inlineStr"/>
      <c r="L73" s="16" t="inlineStr"/>
      <c r="M73" s="15" t="inlineStr"/>
      <c r="N73" s="15" t="inlineStr"/>
      <c r="O73" s="15" t="inlineStr"/>
    </row>
    <row r="74">
      <c r="A74" s="14" t="inlineStr">
        <is>
          <t>FE-MEET-04</t>
        </is>
      </c>
      <c r="B74" s="14" t="inlineStr">
        <is>
          <t>FE-MEET</t>
        </is>
      </c>
      <c r="C74" s="14" t="inlineStr">
        <is>
          <t>Meeting (HP-04 · task 0.8, 0.17–0.20, 0.45)</t>
        </is>
      </c>
      <c r="D74" s="14" t="inlineStr">
        <is>
          <t>P1</t>
        </is>
      </c>
      <c r="E74" s="14" t="inlineStr">
        <is>
          <t>แตะห้องตอนอยู่ในห้องแล้ว / แตะนอกห้อง</t>
        </is>
      </c>
      <c r="F74" s="14" t="inlineStr">
        <is>
          <t>แตะพื้นในห้องที่อยู่ / แตะพื้นที่อื่น</t>
        </is>
      </c>
      <c r="G74" s="14" t="inlineStr">
        <is>
          <t>ไม่เปิด modal · แตะที่อื่น = เดินไป</t>
        </is>
      </c>
      <c r="H74" s="14" t="inlineStr">
        <is>
          <t>§8.6 ข้อ 10</t>
        </is>
      </c>
      <c r="I74" s="15" t="inlineStr">
        <is>
          <t>ยังไม่ทดสอบ</t>
        </is>
      </c>
      <c r="J74" s="14" t="inlineStr"/>
      <c r="K74" s="15" t="inlineStr"/>
      <c r="L74" s="16" t="inlineStr"/>
      <c r="M74" s="15" t="inlineStr"/>
      <c r="N74" s="15" t="inlineStr"/>
      <c r="O74" s="15" t="inlineStr"/>
    </row>
    <row r="75">
      <c r="A75" s="14" t="inlineStr">
        <is>
          <t>FE-MEET-05</t>
        </is>
      </c>
      <c r="B75" s="14" t="inlineStr">
        <is>
          <t>FE-MEET</t>
        </is>
      </c>
      <c r="C75" s="14" t="inlineStr">
        <is>
          <t>Meeting (HP-04 · task 0.8, 0.17–0.20, 0.45)</t>
        </is>
      </c>
      <c r="D75" s="14" t="inlineStr">
        <is>
          <t>P0</t>
        </is>
      </c>
      <c r="E75" s="14" t="inlineStr">
        <is>
          <t>layout tile ตามจำนวนคน</t>
        </is>
      </c>
      <c r="F75" s="14" t="inlineStr">
        <is>
          <t>1, 2, 3, 4–5, 6, &gt; 6 คน ทั้ง 2 แนว</t>
        </is>
      </c>
      <c r="G75" s="14" t="inlineStr">
        <is>
          <t>ตรงตาราง §8.2 · &gt; 6 มีลูกศรเลื่อนหน้า</t>
        </is>
      </c>
      <c r="H75" s="14" t="inlineStr">
        <is>
          <t>§8.2</t>
        </is>
      </c>
      <c r="I75" s="15" t="inlineStr">
        <is>
          <t>ยังไม่ทดสอบ</t>
        </is>
      </c>
      <c r="J75" s="14" t="inlineStr"/>
      <c r="K75" s="15" t="inlineStr"/>
      <c r="L75" s="16" t="inlineStr"/>
      <c r="M75" s="15" t="inlineStr"/>
      <c r="N75" s="15" t="inlineStr"/>
      <c r="O75" s="15" t="inlineStr"/>
    </row>
    <row r="76">
      <c r="A76" s="14" t="inlineStr">
        <is>
          <t>FE-MEET-06</t>
        </is>
      </c>
      <c r="B76" s="14" t="inlineStr">
        <is>
          <t>FE-MEET</t>
        </is>
      </c>
      <c r="C76" s="14" t="inlineStr">
        <is>
          <t>Meeting (HP-04 · task 0.8, 0.17–0.20, 0.45)</t>
        </is>
      </c>
      <c r="D76" s="14" t="inlineStr">
        <is>
          <t>P1</t>
        </is>
      </c>
      <c r="E76" s="14" t="inlineStr">
        <is>
          <t>ชื่อ meeting</t>
        </is>
      </c>
      <c r="F76" s="14" t="inlineStr">
        <is>
          <t>เข้า meeting ที่มีชื่อ</t>
        </is>
      </c>
      <c r="G76" s="14" t="inlineStr">
        <is>
          <t>header แสดงชื่อ meeting แทนชื่อห้อง</t>
        </is>
      </c>
      <c r="H76" s="14" t="inlineStr">
        <is>
          <t>§8.6 ข้อ 1</t>
        </is>
      </c>
      <c r="I76" s="15" t="inlineStr">
        <is>
          <t>ยังไม่ทดสอบ</t>
        </is>
      </c>
      <c r="J76" s="14" t="inlineStr"/>
      <c r="K76" s="15" t="inlineStr"/>
      <c r="L76" s="16" t="inlineStr"/>
      <c r="M76" s="15" t="inlineStr"/>
      <c r="N76" s="15" t="inlineStr"/>
      <c r="O76" s="15" t="inlineStr"/>
    </row>
    <row r="77">
      <c r="A77" s="14" t="inlineStr">
        <is>
          <t>FE-MEET-07</t>
        </is>
      </c>
      <c r="B77" s="14" t="inlineStr">
        <is>
          <t>FE-MEET</t>
        </is>
      </c>
      <c r="C77" s="14" t="inlineStr">
        <is>
          <t>Meeting (HP-04 · task 0.8, 0.17–0.20, 0.45)</t>
        </is>
      </c>
      <c r="D77" s="14" t="inlineStr">
        <is>
          <t>P1</t>
        </is>
      </c>
      <c r="E77" s="14" t="inlineStr">
        <is>
          <t>แตะ 1 ครั้งซ่อนเมนู · double-tap ขยาย</t>
        </is>
      </c>
      <c r="F77" s="14" t="inlineStr">
        <is>
          <t>แตะหน้าจอ / แตะ tile 2 ครั้ง</t>
        </is>
      </c>
      <c r="G77" s="14" t="inlineStr">
        <is>
          <t>เมนูบนล่างเลื่อนหาย · double-tap tile ขยายเต็มจอ (ใช้กับจอแชร์ด้วย)</t>
        </is>
      </c>
      <c r="H77" s="14" t="inlineStr">
        <is>
          <t>§8.6 ข้อ 7</t>
        </is>
      </c>
      <c r="I77" s="15" t="inlineStr">
        <is>
          <t>ยังไม่ทดสอบ</t>
        </is>
      </c>
      <c r="J77" s="14" t="inlineStr"/>
      <c r="K77" s="15" t="inlineStr"/>
      <c r="L77" s="16" t="inlineStr"/>
      <c r="M77" s="15" t="inlineStr"/>
      <c r="N77" s="15" t="inlineStr"/>
      <c r="O77" s="15" t="inlineStr"/>
    </row>
    <row r="78">
      <c r="A78" s="14" t="inlineStr">
        <is>
          <t>FE-MEET-08</t>
        </is>
      </c>
      <c r="B78" s="14" t="inlineStr">
        <is>
          <t>FE-MEET</t>
        </is>
      </c>
      <c r="C78" s="14" t="inlineStr">
        <is>
          <t>Meeting (HP-04 · task 0.8, 0.17–0.20, 0.45)</t>
        </is>
      </c>
      <c r="D78" s="14" t="inlineStr">
        <is>
          <t>P0</t>
        </is>
      </c>
      <c r="E78" s="14" t="inlineStr">
        <is>
          <t>เปิด/ปิด cam mic</t>
        </is>
      </c>
      <c r="F78" s="14" t="inlineStr">
        <is>
          <t>กดปุ่มใน Meeting Menu</t>
        </is>
      </c>
      <c r="G78" s="14" t="inlineStr">
        <is>
          <t>สถานะเปลี่ยนทั้งเครื่องตัวเองและคนอื่น · มี haptic · เปิดกล้องแล้วมีปุ่มสลับกล้องหน้า/หลัง</t>
        </is>
      </c>
      <c r="H78" s="14" t="inlineStr">
        <is>
          <t>§8.2, task 0.8</t>
        </is>
      </c>
      <c r="I78" s="15" t="inlineStr">
        <is>
          <t>ยังไม่ทดสอบ</t>
        </is>
      </c>
      <c r="J78" s="14" t="inlineStr"/>
      <c r="K78" s="15" t="inlineStr"/>
      <c r="L78" s="16" t="inlineStr"/>
      <c r="M78" s="15" t="inlineStr"/>
      <c r="N78" s="15" t="inlineStr"/>
      <c r="O78" s="15" t="inlineStr"/>
    </row>
    <row r="79">
      <c r="A79" s="14" t="inlineStr">
        <is>
          <t>FE-MEET-09</t>
        </is>
      </c>
      <c r="B79" s="14" t="inlineStr">
        <is>
          <t>FE-MEET</t>
        </is>
      </c>
      <c r="C79" s="14" t="inlineStr">
        <is>
          <t>Meeting (HP-04 · task 0.8, 0.17–0.20, 0.45)</t>
        </is>
      </c>
      <c r="D79" s="14" t="inlineStr">
        <is>
          <t>P1</t>
        </is>
      </c>
      <c r="E79" s="14" t="inlineStr">
        <is>
          <t>emoji / ยกมือ</t>
        </is>
      </c>
      <c r="F79" s="14" t="inlineStr">
        <is>
          <t>กด emoji / ยกมือ</t>
        </is>
      </c>
      <c r="G79" s="14" t="inlineStr">
        <is>
          <t>emoji ลอยบน tile · ยกมือ = กรอบเหลือง + ✋ + เลขคิว</t>
        </is>
      </c>
      <c r="H79" s="14" t="inlineStr">
        <is>
          <t>§8.2</t>
        </is>
      </c>
      <c r="I79" s="15" t="inlineStr">
        <is>
          <t>ยังไม่ทดสอบ</t>
        </is>
      </c>
      <c r="J79" s="14" t="inlineStr"/>
      <c r="K79" s="15" t="inlineStr"/>
      <c r="L79" s="16" t="inlineStr"/>
      <c r="M79" s="15" t="inlineStr"/>
      <c r="N79" s="15" t="inlineStr"/>
      <c r="O79" s="15" t="inlineStr"/>
    </row>
    <row r="80">
      <c r="A80" s="14" t="inlineStr">
        <is>
          <t>FE-MEET-10</t>
        </is>
      </c>
      <c r="B80" s="14" t="inlineStr">
        <is>
          <t>FE-MEET</t>
        </is>
      </c>
      <c r="C80" s="14" t="inlineStr">
        <is>
          <t>Meeting (HP-04 · task 0.8, 0.17–0.20, 0.45)</t>
        </is>
      </c>
      <c r="D80" s="14" t="inlineStr">
        <is>
          <t>P1</t>
        </is>
      </c>
      <c r="E80" s="14" t="inlineStr">
        <is>
          <t>ย่อเป็นจอเล็ก (PIP) แนวตั้ง</t>
        </is>
      </c>
      <c r="F80" s="14" t="inlineStr">
        <is>
          <t>กดลูกศรลง</t>
        </is>
      </c>
      <c r="G80" s="14" t="inlineStr">
        <is>
          <t>tile 168×158 ลอยบน Lite Home ตำแหน่งตายตัว ลากไม่ได้ · สลับไปคนที่พูด · แตะกลับเต็มจอ · เสียงไม่หลุด</t>
        </is>
      </c>
      <c r="H80" s="14" t="inlineStr">
        <is>
          <t>§8.6 ข้อ 9</t>
        </is>
      </c>
      <c r="I80" s="15" t="inlineStr">
        <is>
          <t>ยังไม่ทดสอบ</t>
        </is>
      </c>
      <c r="J80" s="14" t="inlineStr"/>
      <c r="K80" s="15" t="inlineStr"/>
      <c r="L80" s="16" t="inlineStr"/>
      <c r="M80" s="15" t="inlineStr"/>
      <c r="N80" s="15" t="inlineStr"/>
      <c r="O80" s="15" t="inlineStr"/>
    </row>
    <row r="81">
      <c r="A81" s="14" t="inlineStr">
        <is>
          <t>FE-MEET-11</t>
        </is>
      </c>
      <c r="B81" s="14" t="inlineStr">
        <is>
          <t>FE-MEET</t>
        </is>
      </c>
      <c r="C81" s="14" t="inlineStr">
        <is>
          <t>Meeting (HP-04 · task 0.8, 0.17–0.20, 0.45)</t>
        </is>
      </c>
      <c r="D81" s="14" t="inlineStr">
        <is>
          <t>P1</t>
        </is>
      </c>
      <c r="E81" s="14" t="inlineStr">
        <is>
          <t>PIP แนวนอน</t>
        </is>
      </c>
      <c r="F81" s="14" t="inlineStr">
        <is>
          <t>กดลูกศรลงใน Spatial</t>
        </is>
      </c>
      <c r="G81" s="14" t="inlineStr">
        <is>
          <t>tile อยู่ขวาล่าง เหนือ minimap (minimap ไม่หาย) ตำแหน่งรอยืนยัน</t>
        </is>
      </c>
      <c r="H81" s="14" t="inlineStr">
        <is>
          <t>§8.2 PIP</t>
        </is>
      </c>
      <c r="I81" s="15" t="inlineStr">
        <is>
          <t>ยังไม่ทดสอบ</t>
        </is>
      </c>
      <c r="J81" s="14" t="inlineStr"/>
      <c r="K81" s="15" t="inlineStr"/>
      <c r="L81" s="16" t="inlineStr"/>
      <c r="M81" s="15" t="inlineStr"/>
      <c r="N81" s="15" t="inlineStr"/>
      <c r="O81" s="15" t="inlineStr"/>
    </row>
    <row r="82">
      <c r="A82" s="14" t="inlineStr">
        <is>
          <t>FE-MEET-12</t>
        </is>
      </c>
      <c r="B82" s="14" t="inlineStr">
        <is>
          <t>FE-MEET</t>
        </is>
      </c>
      <c r="C82" s="14" t="inlineStr">
        <is>
          <t>Meeting (HP-04 · task 0.8, 0.17–0.20, 0.45)</t>
        </is>
      </c>
      <c r="D82" s="14" t="inlineStr">
        <is>
          <t>P0</t>
        </is>
      </c>
      <c r="E82" s="14" t="inlineStr">
        <is>
          <t>ห้องล็อก → ขอเข้า</t>
        </is>
      </c>
      <c r="F82" s="14" t="inlineStr">
        <is>
          <t>ขอเข้าห้องล็อก (ทั้งจาก Lite และ Spatial)</t>
        </is>
      </c>
      <c r="G82" s="14" t="inlineStr">
        <is>
          <t>ปุ่ม Request to join · คนในห้องเห็น toast "Someone is requesting to join your meeting." (ไม่มีชื่อ) · Accept ใน Requesting list แล้วผู้ขอเข้าห้องได้ · Deny แจ้งผู้ขอ</t>
        </is>
      </c>
      <c r="H82" s="14" t="inlineStr">
        <is>
          <t>§8.8.4</t>
        </is>
      </c>
      <c r="I82" s="15" t="inlineStr">
        <is>
          <t>Blocked</t>
        </is>
      </c>
      <c r="J82" s="14" t="inlineStr">
        <is>
          <t>รอ UI จาก design</t>
        </is>
      </c>
      <c r="K82" s="15" t="inlineStr"/>
      <c r="L82" s="16" t="inlineStr"/>
      <c r="M82" s="15" t="inlineStr"/>
      <c r="N82" s="15" t="inlineStr"/>
      <c r="O82" s="15" t="inlineStr"/>
    </row>
    <row r="83">
      <c r="A83" s="14" t="inlineStr">
        <is>
          <t>FE-MEET-13</t>
        </is>
      </c>
      <c r="B83" s="14" t="inlineStr">
        <is>
          <t>FE-MEET</t>
        </is>
      </c>
      <c r="C83" s="14" t="inlineStr">
        <is>
          <t>Meeting (HP-04 · task 0.8, 0.17–0.20, 0.45)</t>
        </is>
      </c>
      <c r="D83" s="14" t="inlineStr">
        <is>
          <t>P1</t>
        </is>
      </c>
      <c r="E83" s="14" t="inlineStr">
        <is>
          <t>ตั้งค่าห้อง</t>
        </is>
      </c>
      <c r="F83" s="14" t="inlineStr">
        <is>
          <t>แตะชื่อห้อง / settings ใน Join sheet</t>
        </is>
      </c>
      <c r="G83" s="14" t="inlineStr">
        <is>
          <t>bottom sheet 3 เมนู Voice output · Camera filter · Invite · ไม่มี Room name</t>
        </is>
      </c>
      <c r="H83" s="14" t="inlineStr">
        <is>
          <t>§8.6 ข้อ 2</t>
        </is>
      </c>
      <c r="I83" s="15" t="inlineStr">
        <is>
          <t>Blocked</t>
        </is>
      </c>
      <c r="J83" s="14" t="inlineStr">
        <is>
          <t>รอ UI จาก design</t>
        </is>
      </c>
      <c r="K83" s="15" t="inlineStr"/>
      <c r="L83" s="16" t="inlineStr"/>
      <c r="M83" s="15" t="inlineStr"/>
      <c r="N83" s="15" t="inlineStr"/>
      <c r="O83" s="15" t="inlineStr"/>
    </row>
    <row r="84">
      <c r="A84" s="14" t="inlineStr">
        <is>
          <t>FE-MEET-14</t>
        </is>
      </c>
      <c r="B84" s="14" t="inlineStr">
        <is>
          <t>FE-MEET</t>
        </is>
      </c>
      <c r="C84" s="14" t="inlineStr">
        <is>
          <t>Meeting (HP-04 · task 0.8, 0.17–0.20, 0.45)</t>
        </is>
      </c>
      <c r="D84" s="14" t="inlineStr">
        <is>
          <t>P1</t>
        </is>
      </c>
      <c r="E84" s="14" t="inlineStr">
        <is>
          <t>ชวนคนผ่านแชท</t>
        </is>
      </c>
      <c r="F84" s="14" t="inlineStr">
        <is>
          <t>Participants → Invite → แท็บ Chat · แตะกลางแถว 2 คน → Send link in chat</t>
        </is>
      </c>
      <c r="G84" s="14" t="inlineStr">
        <is>
          <t>แตะตรงไหนของแถวก็ติ๊กได้ · ปุ่มนับ (2) · ทั้ง 2 คนได้ DM ลิงก์ห้อง · รายชื่อ online ที่ไม่อยู่ในห้องขึ้นก่อน แล้วตามด้วย offline</t>
        </is>
      </c>
      <c r="H84" s="14" t="inlineStr">
        <is>
          <t>§8.8.3</t>
        </is>
      </c>
      <c r="I84" s="15" t="inlineStr">
        <is>
          <t>Blocked</t>
        </is>
      </c>
      <c r="J84" s="14" t="inlineStr">
        <is>
          <t>รอ UI จาก design</t>
        </is>
      </c>
      <c r="K84" s="15" t="inlineStr"/>
      <c r="L84" s="16" t="inlineStr"/>
      <c r="M84" s="15" t="inlineStr"/>
      <c r="N84" s="15" t="inlineStr"/>
      <c r="O84" s="15" t="inlineStr"/>
    </row>
    <row r="85">
      <c r="A85" s="14" t="inlineStr">
        <is>
          <t>FE-MEET-15</t>
        </is>
      </c>
      <c r="B85" s="14" t="inlineStr">
        <is>
          <t>FE-MEET</t>
        </is>
      </c>
      <c r="C85" s="14" t="inlineStr">
        <is>
          <t>Meeting (HP-04 · task 0.8, 0.17–0.20, 0.45)</t>
        </is>
      </c>
      <c r="D85" s="14" t="inlineStr">
        <is>
          <t>P1</t>
        </is>
      </c>
      <c r="E85" s="14" t="inlineStr">
        <is>
          <t>แชร์จอบนมือถือ</t>
        </is>
      </c>
      <c r="F85" s="14" t="inlineStr">
        <is>
          <t>กดปุ่มแชร์จอ</t>
        </is>
      </c>
      <c r="G85" s="14" t="inlineStr">
        <is>
          <t>รอบแรก: ปุ่มกดไม่ได้ + tooltip · ดูจอที่คนอื่นแชร์ได้ปกติ</t>
        </is>
      </c>
      <c r="H85" s="14" t="inlineStr">
        <is>
          <t>§8.6 ข้อ 5</t>
        </is>
      </c>
      <c r="I85" s="15" t="inlineStr">
        <is>
          <t>ยังไม่ทดสอบ</t>
        </is>
      </c>
      <c r="J85" s="14" t="inlineStr"/>
      <c r="K85" s="15" t="inlineStr"/>
      <c r="L85" s="16" t="inlineStr"/>
      <c r="M85" s="15" t="inlineStr"/>
      <c r="N85" s="15" t="inlineStr"/>
      <c r="O85" s="15" t="inlineStr"/>
    </row>
    <row r="86">
      <c r="A86" s="14" t="inlineStr">
        <is>
          <t>FE-MEET-16</t>
        </is>
      </c>
      <c r="B86" s="14" t="inlineStr">
        <is>
          <t>FE-MEET</t>
        </is>
      </c>
      <c r="C86" s="14" t="inlineStr">
        <is>
          <t>Meeting (HP-04 · task 0.8, 0.17–0.20, 0.45)</t>
        </is>
      </c>
      <c r="D86" s="14" t="inlineStr">
        <is>
          <t>P2</t>
        </is>
      </c>
      <c r="E86" s="14" t="inlineStr">
        <is>
          <t>แบตต่ำ</t>
        </is>
      </c>
      <c r="F86" s="14" t="inlineStr">
        <is>
          <t>แบต &lt; 20% ระหว่างประชุม (แอป)</t>
        </is>
      </c>
      <c r="G86" s="14" t="inlineStr">
        <is>
          <t>toast "Low battery. Charge to stay connected."</t>
        </is>
      </c>
      <c r="H86" s="14" t="inlineStr">
        <is>
          <t>§8.2</t>
        </is>
      </c>
      <c r="I86" s="15" t="inlineStr">
        <is>
          <t>ยังไม่ทดสอบ</t>
        </is>
      </c>
      <c r="J86" s="14" t="inlineStr"/>
      <c r="K86" s="15" t="inlineStr"/>
      <c r="L86" s="16" t="inlineStr"/>
      <c r="M86" s="15" t="inlineStr"/>
      <c r="N86" s="15" t="inlineStr"/>
      <c r="O86" s="15" t="inlineStr"/>
    </row>
    <row r="87">
      <c r="A87" s="14" t="inlineStr">
        <is>
          <t>FE-MEET-17</t>
        </is>
      </c>
      <c r="B87" s="14" t="inlineStr">
        <is>
          <t>FE-MEET</t>
        </is>
      </c>
      <c r="C87" s="14" t="inlineStr">
        <is>
          <t>Meeting (HP-04 · task 0.8, 0.17–0.20, 0.45)</t>
        </is>
      </c>
      <c r="D87" s="14" t="inlineStr">
        <is>
          <t>P0</t>
        </is>
      </c>
      <c r="E87" s="14" t="inlineStr">
        <is>
          <t>เสียงไม่หลุดเมื่อสลับแอป (iOS app)</t>
        </is>
      </c>
      <c r="F87" s="14" t="inlineStr">
        <is>
          <t>อยู่ในประชุม ออกไปแอปอื่น 30 วิ แล้วกลับ</t>
        </is>
      </c>
      <c r="G87" s="14" t="inlineStr">
        <is>
          <t>เสียงต่อเนื่อง · WS กลับมาภายใน 5 วิ</t>
        </is>
      </c>
      <c r="H87" s="14" t="inlineStr">
        <is>
          <t>task 1.6–1.7</t>
        </is>
      </c>
      <c r="I87" s="15" t="inlineStr">
        <is>
          <t>ยังไม่ทดสอบ</t>
        </is>
      </c>
      <c r="J87" s="14" t="inlineStr"/>
      <c r="K87" s="15" t="inlineStr"/>
      <c r="L87" s="16" t="inlineStr"/>
      <c r="M87" s="15" t="inlineStr"/>
      <c r="N87" s="15" t="inlineStr"/>
      <c r="O87" s="15" t="inlineStr"/>
    </row>
    <row r="88">
      <c r="A88" s="14" t="inlineStr">
        <is>
          <t>FE-MEET-18</t>
        </is>
      </c>
      <c r="B88" s="14" t="inlineStr">
        <is>
          <t>FE-MEET</t>
        </is>
      </c>
      <c r="C88" s="14" t="inlineStr">
        <is>
          <t>Meeting (HP-04 · task 0.8, 0.17–0.20, 0.45)</t>
        </is>
      </c>
      <c r="D88" s="14" t="inlineStr">
        <is>
          <t>P2</t>
        </is>
      </c>
      <c r="E88" s="14" t="inlineStr">
        <is>
          <t>grid 3×3 บน tablet</t>
        </is>
      </c>
      <c r="F88" s="14" t="inlineStr">
        <is>
          <t>ประชุม 9 คนบน iPad</t>
        </is>
      </c>
      <c r="G88" s="14" t="inlineStr">
        <is>
          <t>grid 3×3</t>
        </is>
      </c>
      <c r="H88" s="14" t="inlineStr">
        <is>
          <t>task 0.45</t>
        </is>
      </c>
      <c r="I88" s="15" t="inlineStr">
        <is>
          <t>Blocked</t>
        </is>
      </c>
      <c r="J88" s="14" t="inlineStr">
        <is>
          <t>รอ UI จาก design</t>
        </is>
      </c>
      <c r="K88" s="15" t="inlineStr"/>
      <c r="L88" s="16" t="inlineStr"/>
      <c r="M88" s="15" t="inlineStr"/>
      <c r="N88" s="15" t="inlineStr"/>
      <c r="O88" s="15" t="inlineStr"/>
    </row>
    <row r="89">
      <c r="A89" s="14" t="inlineStr">
        <is>
          <t>FE-MEET-19</t>
        </is>
      </c>
      <c r="B89" s="14" t="inlineStr">
        <is>
          <t>FE-MEET</t>
        </is>
      </c>
      <c r="C89" s="14" t="inlineStr">
        <is>
          <t>Meeting (HP-04 · task 0.8, 0.17–0.20, 0.45)</t>
        </is>
      </c>
      <c r="D89" s="14" t="inlineStr">
        <is>
          <t>P1</t>
        </is>
      </c>
      <c r="E89" s="14" t="inlineStr">
        <is>
          <t>Participants sheet</t>
        </is>
      </c>
      <c r="F89" s="14" t="inlineStr">
        <is>
          <t>แตะปุ่ม Users บน header</t>
        </is>
      </c>
      <c r="G89" s="14" t="inlineStr">
        <is>
          <t>หัว "Participants (N)" + ปุ่ม Invite · host อยู่บนสุดพร้อมมงกุฎ · ที่เหลือเรียงตามลำดับที่เข้า · host ออกแล้วมงกุฎย้าย · ท้ายแถวมีไอคอนไมค์</t>
        </is>
      </c>
      <c r="H89" s="14" t="inlineStr">
        <is>
          <t>§8.8.2</t>
        </is>
      </c>
      <c r="I89" s="15" t="inlineStr">
        <is>
          <t>Blocked</t>
        </is>
      </c>
      <c r="J89" s="14" t="inlineStr">
        <is>
          <t>รอ UI จาก design</t>
        </is>
      </c>
      <c r="K89" s="15" t="inlineStr"/>
      <c r="L89" s="16" t="inlineStr"/>
      <c r="M89" s="15" t="inlineStr"/>
      <c r="N89" s="15" t="inlineStr"/>
      <c r="O89" s="15" t="inlineStr"/>
    </row>
    <row r="90">
      <c r="A90" s="14" t="inlineStr">
        <is>
          <t>FE-MEET-20</t>
        </is>
      </c>
      <c r="B90" s="14" t="inlineStr">
        <is>
          <t>FE-MEET</t>
        </is>
      </c>
      <c r="C90" s="14" t="inlineStr">
        <is>
          <t>Meeting (HP-04 · task 0.8, 0.17–0.20, 0.45)</t>
        </is>
      </c>
      <c r="D90" s="14" t="inlineStr">
        <is>
          <t>P1</t>
        </is>
      </c>
      <c r="E90" s="14" t="inlineStr">
        <is>
          <t>host ปิดไมค์คนอื่น</t>
        </is>
      </c>
      <c r="F90" s="14" t="inlineStr">
        <is>
          <t>host กดไมค์ท้ายแถวของคนที่เปิดไมค์</t>
        </is>
      </c>
      <c r="G90" s="14" t="inlineStr">
        <is>
          <t>ไมค์คนนั้นปิด · กดเปิดไมค์ให้คนอื่นไม่ได้ · คนที่ไม่ใช่ host เห็นแค่ไอคอน กดไม่ได้</t>
        </is>
      </c>
      <c r="H90" s="14" t="inlineStr">
        <is>
          <t>§8.8.2</t>
        </is>
      </c>
      <c r="I90" s="15" t="inlineStr">
        <is>
          <t>Blocked</t>
        </is>
      </c>
      <c r="J90" s="14" t="inlineStr">
        <is>
          <t>รอ UI จาก design</t>
        </is>
      </c>
      <c r="K90" s="15" t="inlineStr"/>
      <c r="L90" s="16" t="inlineStr"/>
      <c r="M90" s="15" t="inlineStr"/>
      <c r="N90" s="15" t="inlineStr"/>
      <c r="O90" s="15" t="inlineStr"/>
    </row>
    <row r="91">
      <c r="A91" s="14" t="inlineStr">
        <is>
          <t>FE-MEET-21</t>
        </is>
      </c>
      <c r="B91" s="14" t="inlineStr">
        <is>
          <t>FE-MEET</t>
        </is>
      </c>
      <c r="C91" s="14" t="inlineStr">
        <is>
          <t>Meeting (HP-04 · task 0.8, 0.17–0.20, 0.45)</t>
        </is>
      </c>
      <c r="D91" s="14" t="inlineStr">
        <is>
          <t>P1</t>
        </is>
      </c>
      <c r="E91" s="14" t="inlineStr">
        <is>
          <t>Mute all / Kick</t>
        </is>
      </c>
      <c r="F91" s="14" t="inlineStr">
        <is>
          <t>host กด Mute all · host กด ⋯ → Kick</t>
        </is>
      </c>
      <c r="G91" s="14" t="inlineStr">
        <is>
          <t>ทุกคนยกเว้น host ถูกปิดไมค์ · คนที่ถูก Kick ออกจากห้อง · คนที่ไม่ใช่ host ไม่เห็นปุ่ม Mute all และ ⋯</t>
        </is>
      </c>
      <c r="H91" s="14" t="inlineStr">
        <is>
          <t>§8.8.2</t>
        </is>
      </c>
      <c r="I91" s="15" t="inlineStr">
        <is>
          <t>Blocked</t>
        </is>
      </c>
      <c r="J91" s="14" t="inlineStr">
        <is>
          <t>รอ UI จาก design</t>
        </is>
      </c>
      <c r="K91" s="15" t="inlineStr"/>
      <c r="L91" s="16" t="inlineStr"/>
      <c r="M91" s="15" t="inlineStr"/>
      <c r="N91" s="15" t="inlineStr"/>
      <c r="O91" s="15" t="inlineStr"/>
    </row>
    <row r="92">
      <c r="A92" s="14" t="inlineStr">
        <is>
          <t>FE-MEET-22</t>
        </is>
      </c>
      <c r="B92" s="14" t="inlineStr">
        <is>
          <t>FE-MEET</t>
        </is>
      </c>
      <c r="C92" s="14" t="inlineStr">
        <is>
          <t>Meeting (HP-04 · task 0.8, 0.17–0.20, 0.45)</t>
        </is>
      </c>
      <c r="D92" s="14" t="inlineStr">
        <is>
          <t>P1</t>
        </is>
      </c>
      <c r="E92" s="14" t="inlineStr">
        <is>
          <t>toast คำขอ + Requesting list</t>
        </is>
      </c>
      <c r="F92" s="14" t="inlineStr">
        <is>
          <t>1 คนขอเข้า แล้ว 3 คนขอพร้อมกัน · แตะ toast</t>
        </is>
      </c>
      <c r="G92" s="14" t="inlineStr">
        <is>
          <t>1 คน: "Someone is requesting…" · 3 คน: toast เดียว "3 people are requesting…" · หายใน 5 วิ · ตัวเลขบนไอคอน Users ค้าง · แตะแล้วไป Requesting · มีคนกด / ผู้ขอยกเลิก → แถวหายทุกเครื่อง · แนวนอน toast อยู่บนกลางจอ</t>
        </is>
      </c>
      <c r="H92" s="14" t="inlineStr">
        <is>
          <t>§8.8.4</t>
        </is>
      </c>
      <c r="I92" s="15" t="inlineStr">
        <is>
          <t>Blocked</t>
        </is>
      </c>
      <c r="J92" s="14" t="inlineStr">
        <is>
          <t>รอ UI จาก design</t>
        </is>
      </c>
      <c r="K92" s="15" t="inlineStr"/>
      <c r="L92" s="16" t="inlineStr"/>
      <c r="M92" s="15" t="inlineStr"/>
      <c r="N92" s="15" t="inlineStr"/>
      <c r="O92" s="15" t="inlineStr"/>
    </row>
    <row r="93">
      <c r="A93" s="14" t="inlineStr">
        <is>
          <t>FE-MEET-23</t>
        </is>
      </c>
      <c r="B93" s="14" t="inlineStr">
        <is>
          <t>FE-MEET</t>
        </is>
      </c>
      <c r="C93" s="14" t="inlineStr">
        <is>
          <t>Meeting (HP-04 · task 0.8, 0.17–0.20, 0.45)</t>
        </is>
      </c>
      <c r="D93" s="14" t="inlineStr">
        <is>
          <t>P1</t>
        </is>
      </c>
      <c r="E93" s="14" t="inlineStr">
        <is>
          <t>แท็บ Invite ตาม role</t>
        </is>
      </c>
      <c r="F93" s="14" t="inlineStr">
        <is>
          <t>เปิด Invite ด้วย Owner / Admin / Member</t>
        </is>
      </c>
      <c r="G93" s="14" t="inlineStr">
        <is>
          <t>Owner, Admin เห็นแท็บ Chat / Link / Email · Member เห็นแค่เนื้อหา Chat ไม่มีแถบแท็บ</t>
        </is>
      </c>
      <c r="H93" s="14" t="inlineStr">
        <is>
          <t>§8.8.3</t>
        </is>
      </c>
      <c r="I93" s="15" t="inlineStr">
        <is>
          <t>Blocked</t>
        </is>
      </c>
      <c r="J93" s="14" t="inlineStr">
        <is>
          <t>รอ UI จาก design</t>
        </is>
      </c>
      <c r="K93" s="15" t="inlineStr"/>
      <c r="L93" s="16" t="inlineStr"/>
      <c r="M93" s="15" t="inlineStr"/>
      <c r="N93" s="15" t="inlineStr"/>
      <c r="O93" s="15" t="inlineStr"/>
    </row>
    <row r="94">
      <c r="A94" s="14" t="inlineStr">
        <is>
          <t>FE-MEET-24</t>
        </is>
      </c>
      <c r="B94" s="14" t="inlineStr">
        <is>
          <t>FE-MEET</t>
        </is>
      </c>
      <c r="C94" s="14" t="inlineStr">
        <is>
          <t>Meeting (HP-04 · task 0.8, 0.17–0.20, 0.45)</t>
        </is>
      </c>
      <c r="D94" s="14" t="inlineStr">
        <is>
          <t>P1</t>
        </is>
      </c>
      <c r="E94" s="14" t="inlineStr">
        <is>
          <t>แท็บ Link + วันหมดอายุ</t>
        </is>
      </c>
      <c r="F94" s="14" t="inlineStr">
        <is>
          <t>Owner กด Copy link · เปิด toggle Set expiry date เลือกวัน · เปิดลิงก์หลังวันหมดอายุ</t>
        </is>
      </c>
      <c r="G94" s="14" t="inlineStr">
        <is>
          <t>toast "Invite link copied" · ลิงก์พาเข้า workspace (/join/…) · หลังหมดอายุเปิดไม่ได้ · ค่าที่ตั้งตรงกับบนเว็บ</t>
        </is>
      </c>
      <c r="H94" s="14" t="inlineStr">
        <is>
          <t>§8.8.3</t>
        </is>
      </c>
      <c r="I94" s="15" t="inlineStr">
        <is>
          <t>Blocked</t>
        </is>
      </c>
      <c r="J94" s="14" t="inlineStr">
        <is>
          <t>รอ UI จาก design</t>
        </is>
      </c>
      <c r="K94" s="15" t="inlineStr"/>
      <c r="L94" s="16" t="inlineStr"/>
      <c r="M94" s="15" t="inlineStr"/>
      <c r="N94" s="15" t="inlineStr"/>
      <c r="O94" s="15" t="inlineStr"/>
    </row>
    <row r="95">
      <c r="A95" s="14" t="inlineStr">
        <is>
          <t>FE-MEET-25</t>
        </is>
      </c>
      <c r="B95" s="14" t="inlineStr">
        <is>
          <t>FE-MEET</t>
        </is>
      </c>
      <c r="C95" s="14" t="inlineStr">
        <is>
          <t>Meeting (HP-04 · task 0.8, 0.17–0.20, 0.45)</t>
        </is>
      </c>
      <c r="D95" s="14" t="inlineStr">
        <is>
          <t>P1</t>
        </is>
      </c>
      <c r="E95" s="14" t="inlineStr">
        <is>
          <t>แท็บ Email หลายอีเมล</t>
        </is>
      </c>
      <c r="F95" s="14" t="inlineStr">
        <is>
          <t>พิมพ์ 3 อีเมลคั่นด้วย Enter / comma / เว้นวรรค + 1 อีเมลผิดรูปแบบ → Send invite</t>
        </is>
      </c>
      <c r="G95" s="14" t="inlineStr">
        <is>
          <t>ขึ้นเป็น chip · อีเมลผิดรูปแบบถูกเตือน · ทั้ง 3 คนได้อีเมลเชิญเข้า workspace เป็น Member</t>
        </is>
      </c>
      <c r="H95" s="14" t="inlineStr">
        <is>
          <t>§8.8.3</t>
        </is>
      </c>
      <c r="I95" s="15" t="inlineStr">
        <is>
          <t>Blocked</t>
        </is>
      </c>
      <c r="J95" s="14" t="inlineStr">
        <is>
          <t>รอ UI จาก design</t>
        </is>
      </c>
      <c r="K95" s="15" t="inlineStr"/>
      <c r="L95" s="16" t="inlineStr"/>
      <c r="M95" s="15" t="inlineStr"/>
      <c r="N95" s="15" t="inlineStr"/>
      <c r="O95" s="15" t="inlineStr"/>
    </row>
    <row r="96">
      <c r="A96" s="14" t="inlineStr">
        <is>
          <t>FE-CHAT-01</t>
        </is>
      </c>
      <c r="B96" s="14" t="inlineStr">
        <is>
          <t>FE-CHAT</t>
        </is>
      </c>
      <c r="C96" s="14" t="inlineStr">
        <is>
          <t>Chat (HP-05 · task 0.21–0.27, 0.37)</t>
        </is>
      </c>
      <c r="D96" s="14" t="inlineStr">
        <is>
          <t>P0</t>
        </is>
      </c>
      <c r="E96" s="14" t="inlineStr">
        <is>
          <t>รายการแชท + ห้องแชท</t>
        </is>
      </c>
      <c r="F96" s="14" t="inlineStr">
        <is>
          <t>แท็บ Chat</t>
        </is>
      </c>
      <c r="G96" s="14" t="inlineStr">
        <is>
          <t>list เต็มจอ (tab All / Channel / Group / DM) → แตะเข้าห้องเต็มจอ</t>
        </is>
      </c>
      <c r="H96" s="14" t="inlineStr">
        <is>
          <t>§9.2</t>
        </is>
      </c>
      <c r="I96" s="15" t="inlineStr">
        <is>
          <t>ยังไม่ทดสอบ</t>
        </is>
      </c>
      <c r="J96" s="14" t="inlineStr"/>
      <c r="K96" s="15" t="inlineStr"/>
      <c r="L96" s="16" t="inlineStr"/>
      <c r="M96" s="15" t="inlineStr"/>
      <c r="N96" s="15" t="inlineStr"/>
      <c r="O96" s="15" t="inlineStr"/>
    </row>
    <row r="97">
      <c r="A97" s="14" t="inlineStr">
        <is>
          <t>FE-CHAT-02</t>
        </is>
      </c>
      <c r="B97" s="14" t="inlineStr">
        <is>
          <t>FE-CHAT</t>
        </is>
      </c>
      <c r="C97" s="14" t="inlineStr">
        <is>
          <t>Chat (HP-05 · task 0.21–0.27, 0.37)</t>
        </is>
      </c>
      <c r="D97" s="14" t="inlineStr">
        <is>
          <t>P0</t>
        </is>
      </c>
      <c r="E97" s="14" t="inlineStr">
        <is>
          <t>ส่งข้อความ / รับข้อความ</t>
        </is>
      </c>
      <c r="F97" s="14" t="inlineStr">
        <is>
          <t>ส่งระหว่าง 2 เครื่อง</t>
        </is>
      </c>
      <c r="G97" s="14" t="inlineStr">
        <is>
          <t>ได้รับทันที</t>
        </is>
      </c>
      <c r="H97" s="14" t="inlineStr">
        <is>
          <t>§9.2</t>
        </is>
      </c>
      <c r="I97" s="15" t="inlineStr">
        <is>
          <t>ยังไม่ทดสอบ</t>
        </is>
      </c>
      <c r="J97" s="14" t="inlineStr"/>
      <c r="K97" s="15" t="inlineStr"/>
      <c r="L97" s="16" t="inlineStr"/>
      <c r="M97" s="15" t="inlineStr"/>
      <c r="N97" s="15" t="inlineStr"/>
      <c r="O97" s="15" t="inlineStr"/>
    </row>
    <row r="98">
      <c r="A98" s="14" t="inlineStr">
        <is>
          <t>FE-CHAT-03</t>
        </is>
      </c>
      <c r="B98" s="14" t="inlineStr">
        <is>
          <t>FE-CHAT</t>
        </is>
      </c>
      <c r="C98" s="14" t="inlineStr">
        <is>
          <t>Chat (HP-05 · task 0.21–0.27, 0.37)</t>
        </is>
      </c>
      <c r="D98" s="14" t="inlineStr">
        <is>
          <t>P1</t>
        </is>
      </c>
      <c r="E98" s="14" t="inlineStr">
        <is>
          <t>คีย์บอร์ดดันข้อความล่าสุดขึ้น</t>
        </is>
      </c>
      <c r="F98" s="14" t="inlineStr">
        <is>
          <t>เปิดคีย์บอร์ด</t>
        </is>
      </c>
      <c r="G98" s="14" t="inlineStr">
        <is>
          <t>ข้อความล่าสุดยังเห็น ไม่ถูกบัง</t>
        </is>
      </c>
      <c r="H98" s="14" t="inlineStr">
        <is>
          <t>§9.6 ข้อ 7</t>
        </is>
      </c>
      <c r="I98" s="15" t="inlineStr">
        <is>
          <t>ยังไม่ทดสอบ</t>
        </is>
      </c>
      <c r="J98" s="14" t="inlineStr"/>
      <c r="K98" s="15" t="inlineStr"/>
      <c r="L98" s="16" t="inlineStr"/>
      <c r="M98" s="15" t="inlineStr"/>
      <c r="N98" s="15" t="inlineStr"/>
      <c r="O98" s="15" t="inlineStr"/>
    </row>
    <row r="99">
      <c r="A99" s="14" t="inlineStr">
        <is>
          <t>FE-CHAT-04</t>
        </is>
      </c>
      <c r="B99" s="14" t="inlineStr">
        <is>
          <t>FE-CHAT</t>
        </is>
      </c>
      <c r="C99" s="14" t="inlineStr">
        <is>
          <t>Chat (HP-05 · task 0.21–0.27, 0.37)</t>
        </is>
      </c>
      <c r="D99" s="14" t="inlineStr">
        <is>
          <t>P1</t>
        </is>
      </c>
      <c r="E99" s="14" t="inlineStr">
        <is>
          <t>กดค้างข้อความ</t>
        </is>
      </c>
      <c r="F99" s="14" t="inlineStr">
        <is>
          <t>long-press</t>
        </is>
      </c>
      <c r="G99" s="14" t="inlineStr">
        <is>
          <t>overlay + emoji 7 ตัว + เมนู Reply / Thread / Copy / Pin / Forward / Select / Delete</t>
        </is>
      </c>
      <c r="H99" s="14" t="inlineStr">
        <is>
          <t>task 0.22</t>
        </is>
      </c>
      <c r="I99" s="15" t="inlineStr">
        <is>
          <t>ยังไม่ทดสอบ</t>
        </is>
      </c>
      <c r="J99" s="14" t="inlineStr"/>
      <c r="K99" s="15" t="inlineStr"/>
      <c r="L99" s="16" t="inlineStr"/>
      <c r="M99" s="15" t="inlineStr"/>
      <c r="N99" s="15" t="inlineStr"/>
      <c r="O99" s="15" t="inlineStr"/>
    </row>
    <row r="100">
      <c r="A100" s="14" t="inlineStr">
        <is>
          <t>FE-CHAT-05</t>
        </is>
      </c>
      <c r="B100" s="14" t="inlineStr">
        <is>
          <t>FE-CHAT</t>
        </is>
      </c>
      <c r="C100" s="14" t="inlineStr">
        <is>
          <t>Chat (HP-05 · task 0.21–0.27, 0.37)</t>
        </is>
      </c>
      <c r="D100" s="14" t="inlineStr">
        <is>
          <t>P1</t>
        </is>
      </c>
      <c r="E100" s="14" t="inlineStr">
        <is>
          <t>Forward / Select</t>
        </is>
      </c>
      <c r="F100" s="14" t="inlineStr">
        <is>
          <t>เลือก Forward / Select</t>
        </is>
      </c>
      <c r="G100" s="14" t="inlineStr">
        <is>
          <t>ส่งต่อไปห้องอื่นได้ · เลือกหลายข้อความได้</t>
        </is>
      </c>
      <c r="H100" s="14" t="inlineStr">
        <is>
          <t>§9.6 ข้อ 3</t>
        </is>
      </c>
      <c r="I100" s="15" t="inlineStr">
        <is>
          <t>ยังไม่ทดสอบ</t>
        </is>
      </c>
      <c r="J100" s="14" t="inlineStr"/>
      <c r="K100" s="15" t="inlineStr"/>
      <c r="L100" s="16" t="inlineStr"/>
      <c r="M100" s="15" t="inlineStr"/>
      <c r="N100" s="15" t="inlineStr"/>
      <c r="O100" s="15" t="inlineStr"/>
    </row>
    <row r="101">
      <c r="A101" s="14" t="inlineStr">
        <is>
          <t>FE-CHAT-06</t>
        </is>
      </c>
      <c r="B101" s="14" t="inlineStr">
        <is>
          <t>FE-CHAT</t>
        </is>
      </c>
      <c r="C101" s="14" t="inlineStr">
        <is>
          <t>Chat (HP-05 · task 0.21–0.27, 0.37)</t>
        </is>
      </c>
      <c r="D101" s="14" t="inlineStr">
        <is>
          <t>P1</t>
        </is>
      </c>
      <c r="E101" s="14" t="inlineStr">
        <is>
          <t>ข้อความเสียง</t>
        </is>
      </c>
      <c r="F101" s="14" t="inlineStr">
        <is>
          <t>กดค้างปุ่มไมค์ในช่องพิมพ์</t>
        </is>
      </c>
      <c r="G101" s="14" t="inlineStr">
        <is>
          <t>อัด → ส่ง → อีกฝั่งเล่นได้ · ขอสิทธิ์ไมค์ตามกติกา FE-PERM</t>
        </is>
      </c>
      <c r="H101" s="14" t="inlineStr">
        <is>
          <t>task 0.25</t>
        </is>
      </c>
      <c r="I101" s="15" t="inlineStr">
        <is>
          <t>ยังไม่ทดสอบ</t>
        </is>
      </c>
      <c r="J101" s="14" t="inlineStr"/>
      <c r="K101" s="15" t="inlineStr"/>
      <c r="L101" s="16" t="inlineStr"/>
      <c r="M101" s="15" t="inlineStr"/>
      <c r="N101" s="15" t="inlineStr"/>
      <c r="O101" s="15" t="inlineStr"/>
    </row>
    <row r="102">
      <c r="A102" s="14" t="inlineStr">
        <is>
          <t>FE-CHAT-07</t>
        </is>
      </c>
      <c r="B102" s="14" t="inlineStr">
        <is>
          <t>FE-CHAT</t>
        </is>
      </c>
      <c r="C102" s="14" t="inlineStr">
        <is>
          <t>Chat (HP-05 · task 0.21–0.27, 0.37)</t>
        </is>
      </c>
      <c r="D102" s="14" t="inlineStr">
        <is>
          <t>P1</t>
        </is>
      </c>
      <c r="E102" s="14" t="inlineStr">
        <is>
          <t>mention</t>
        </is>
      </c>
      <c r="F102" s="14" t="inlineStr">
        <is>
          <t>พิมพ์ @</t>
        </is>
      </c>
      <c r="G102" s="14" t="inlineStr">
        <is>
          <t>รายชื่อคนคุยบ่อย 3–4 คน (เกณฑ์ OQ 18) · @Everyone อยู่ล่างสุด</t>
        </is>
      </c>
      <c r="H102" s="14" t="inlineStr">
        <is>
          <t>task 0.24</t>
        </is>
      </c>
      <c r="I102" s="15" t="inlineStr">
        <is>
          <t>ยังไม่ทดสอบ</t>
        </is>
      </c>
      <c r="J102" s="14" t="inlineStr"/>
      <c r="K102" s="15" t="inlineStr"/>
      <c r="L102" s="16" t="inlineStr"/>
      <c r="M102" s="15" t="inlineStr"/>
      <c r="N102" s="15" t="inlineStr"/>
      <c r="O102" s="15" t="inlineStr"/>
    </row>
    <row r="103">
      <c r="A103" s="14" t="inlineStr">
        <is>
          <t>FE-CHAT-08</t>
        </is>
      </c>
      <c r="B103" s="14" t="inlineStr">
        <is>
          <t>FE-CHAT</t>
        </is>
      </c>
      <c r="C103" s="14" t="inlineStr">
        <is>
          <t>Chat (HP-05 · task 0.21–0.27, 0.37)</t>
        </is>
      </c>
      <c r="D103" s="14" t="inlineStr">
        <is>
          <t>P1</t>
        </is>
      </c>
      <c r="E103" s="14" t="inlineStr">
        <is>
          <t>ดูรูป</t>
        </is>
      </c>
      <c r="F103" s="14" t="inlineStr">
        <is>
          <t>แตะรูปในแชท</t>
        </is>
      </c>
      <c r="G103" s="14" t="inlineStr">
        <is>
          <t>pinch zoom · แตะซ่อน/โชว์ header · download บันทึกลง Photos</t>
        </is>
      </c>
      <c r="H103" s="14" t="inlineStr">
        <is>
          <t>task 0.23</t>
        </is>
      </c>
      <c r="I103" s="15" t="inlineStr">
        <is>
          <t>ยังไม่ทดสอบ</t>
        </is>
      </c>
      <c r="J103" s="14" t="inlineStr"/>
      <c r="K103" s="15" t="inlineStr"/>
      <c r="L103" s="16" t="inlineStr"/>
      <c r="M103" s="15" t="inlineStr"/>
      <c r="N103" s="15" t="inlineStr"/>
      <c r="O103" s="15" t="inlineStr"/>
    </row>
    <row r="104">
      <c r="A104" s="14" t="inlineStr">
        <is>
          <t>FE-CHAT-09</t>
        </is>
      </c>
      <c r="B104" s="14" t="inlineStr">
        <is>
          <t>FE-CHAT</t>
        </is>
      </c>
      <c r="C104" s="14" t="inlineStr">
        <is>
          <t>Chat (HP-05 · task 0.21–0.27, 0.37)</t>
        </is>
      </c>
      <c r="D104" s="14" t="inlineStr">
        <is>
          <t>P1</t>
        </is>
      </c>
      <c r="E104" s="14" t="inlineStr">
        <is>
          <t>เมนู FAB + New group</t>
        </is>
      </c>
      <c r="F104" s="14" t="inlineStr">
        <is>
          <t>แตะ FAB + · แตะ Create group · พิมพ์ชื่อ เลือก 2 คน</t>
        </is>
      </c>
      <c r="G104" s="14" t="inlineStr">
        <is>
          <t>overlay blur · FAB เป็น × · เมนู 3 ข้อ Create channel / Create group / Start a new chat ชิดขวาเหนือ FAB · New group: header กลาง · รูปและช่องชื่อเรียงกลาง ไม่มี label · "Search for member" · ไม่มีแท็กชื่อ · คนที่ติ๊กขึ้นบน · "Create group (2)"</t>
        </is>
      </c>
      <c r="H104" s="14" t="inlineStr">
        <is>
          <t>§22.1, §19.1</t>
        </is>
      </c>
      <c r="I104" s="15" t="inlineStr">
        <is>
          <t>Blocked</t>
        </is>
      </c>
      <c r="J104" s="14" t="inlineStr">
        <is>
          <t>รอ UI จาก design</t>
        </is>
      </c>
      <c r="K104" s="15" t="inlineStr"/>
      <c r="L104" s="16" t="inlineStr"/>
      <c r="M104" s="15" t="inlineStr"/>
      <c r="N104" s="15" t="inlineStr"/>
      <c r="O104" s="15" t="inlineStr"/>
    </row>
    <row r="105">
      <c r="A105" s="14" t="inlineStr">
        <is>
          <t>FE-CHAT-10</t>
        </is>
      </c>
      <c r="B105" s="14" t="inlineStr">
        <is>
          <t>FE-CHAT</t>
        </is>
      </c>
      <c r="C105" s="14" t="inlineStr">
        <is>
          <t>Chat (HP-05 · task 0.21–0.27, 0.37)</t>
        </is>
      </c>
      <c r="D105" s="14" t="inlineStr">
        <is>
          <t>P1</t>
        </is>
      </c>
      <c r="E105" s="14" t="inlineStr">
        <is>
          <t>Start a new chat</t>
        </is>
      </c>
      <c r="F105" s="14" t="inlineStr">
        <is>
          <t>FAB → Start a new chat</t>
        </is>
      </c>
      <c r="G105" s="14" t="inlineStr">
        <is>
          <t>รายชื่อแสดงสถานะ Active / Busy / custom / In meeting · เปิด DM ได้</t>
        </is>
      </c>
      <c r="H105" s="14" t="inlineStr">
        <is>
          <t>task 0.26</t>
        </is>
      </c>
      <c r="I105" s="15" t="inlineStr">
        <is>
          <t>ยังไม่ทดสอบ</t>
        </is>
      </c>
      <c r="J105" s="14" t="inlineStr"/>
      <c r="K105" s="15" t="inlineStr"/>
      <c r="L105" s="16" t="inlineStr"/>
      <c r="M105" s="15" t="inlineStr"/>
      <c r="N105" s="15" t="inlineStr"/>
      <c r="O105" s="15" t="inlineStr"/>
    </row>
    <row r="106">
      <c r="A106" s="14" t="inlineStr">
        <is>
          <t>FE-CHAT-11</t>
        </is>
      </c>
      <c r="B106" s="14" t="inlineStr">
        <is>
          <t>FE-CHAT</t>
        </is>
      </c>
      <c r="C106" s="14" t="inlineStr">
        <is>
          <t>Chat (HP-05 · task 0.21–0.27, 0.37)</t>
        </is>
      </c>
      <c r="D106" s="14" t="inlineStr">
        <is>
          <t>P1</t>
        </is>
      </c>
      <c r="E106" s="14" t="inlineStr">
        <is>
          <t>✓ / ✓✓ ใน DM</t>
        </is>
      </c>
      <c r="F106" s="14" t="inlineStr">
        <is>
          <t>ส่ง DM แล้วให้อีกฝั่งอ่าน</t>
        </is>
      </c>
      <c r="G106" s="14" t="inlineStr">
        <is>
          <t>✓ ส่งแล้ว → ✓✓ อ่านแล้ว</t>
        </is>
      </c>
      <c r="H106" s="14" t="inlineStr">
        <is>
          <t>task 0.27</t>
        </is>
      </c>
      <c r="I106" s="15" t="inlineStr">
        <is>
          <t>ยังไม่ทดสอบ</t>
        </is>
      </c>
      <c r="J106" s="14" t="inlineStr"/>
      <c r="K106" s="15" t="inlineStr"/>
      <c r="L106" s="16" t="inlineStr"/>
      <c r="M106" s="15" t="inlineStr"/>
      <c r="N106" s="15" t="inlineStr"/>
      <c r="O106" s="15" t="inlineStr"/>
    </row>
    <row r="107">
      <c r="A107" s="14" t="inlineStr">
        <is>
          <t>FE-CHAT-12</t>
        </is>
      </c>
      <c r="B107" s="14" t="inlineStr">
        <is>
          <t>FE-CHAT</t>
        </is>
      </c>
      <c r="C107" s="14" t="inlineStr">
        <is>
          <t>Chat (HP-05 · task 0.21–0.27, 0.37)</t>
        </is>
      </c>
      <c r="D107" s="14" t="inlineStr">
        <is>
          <t>P0</t>
        </is>
      </c>
      <c r="E107" s="14" t="inlineStr">
        <is>
          <t>ส่งไม่ได้ → ส่งซ้ำเอง</t>
        </is>
      </c>
      <c r="F107" s="14" t="inlineStr">
        <is>
          <t>ตัดเน็ตแล้วส่งข้อความ</t>
        </is>
      </c>
      <c r="G107" s="14" t="inlineStr">
        <is>
          <t>bubble กำลังส่ง (หมุน) · ส่งซ้ำเอง 5 ครั้ง (1/2/4/8/16 วิ) · เน็ตกลับระหว่างนั้นส่งสำเร็จ · ไม่เกิดข้อความซ้ำ</t>
        </is>
      </c>
      <c r="H107" s="14" t="inlineStr">
        <is>
          <t>task 0.37</t>
        </is>
      </c>
      <c r="I107" s="15" t="inlineStr">
        <is>
          <t>ยังไม่ทดสอบ</t>
        </is>
      </c>
      <c r="J107" s="14" t="inlineStr"/>
      <c r="K107" s="15" t="inlineStr"/>
      <c r="L107" s="16" t="inlineStr"/>
      <c r="M107" s="15" t="inlineStr"/>
      <c r="N107" s="15" t="inlineStr"/>
      <c r="O107" s="15" t="inlineStr"/>
    </row>
    <row r="108">
      <c r="A108" s="14" t="inlineStr">
        <is>
          <t>FE-CHAT-13</t>
        </is>
      </c>
      <c r="B108" s="14" t="inlineStr">
        <is>
          <t>FE-CHAT</t>
        </is>
      </c>
      <c r="C108" s="14" t="inlineStr">
        <is>
          <t>Chat (HP-05 · task 0.21–0.27, 0.37)</t>
        </is>
      </c>
      <c r="D108" s="14" t="inlineStr">
        <is>
          <t>P0</t>
        </is>
      </c>
      <c r="E108" s="14" t="inlineStr">
        <is>
          <t>ส่งไม่สำเร็จครบ 5 ครั้ง</t>
        </is>
      </c>
      <c r="F108" s="14" t="inlineStr">
        <is>
          <t>ตัดเน็ตนาน &gt; 31 วิ</t>
        </is>
      </c>
      <c r="G108" s="14" t="inlineStr">
        <is>
          <t>bubble "Not sent · Tap to retry" + sheet "Message not sent" · แตะส่งใหม่ได้ · ไม่มีคิวออฟไลน์</t>
        </is>
      </c>
      <c r="H108" s="14" t="inlineStr">
        <is>
          <t>§14.6 ข้อ 4</t>
        </is>
      </c>
      <c r="I108" s="15" t="inlineStr">
        <is>
          <t>ยังไม่ทดสอบ</t>
        </is>
      </c>
      <c r="J108" s="14" t="inlineStr"/>
      <c r="K108" s="15" t="inlineStr"/>
      <c r="L108" s="16" t="inlineStr"/>
      <c r="M108" s="15" t="inlineStr"/>
      <c r="N108" s="15" t="inlineStr"/>
      <c r="O108" s="15" t="inlineStr"/>
    </row>
    <row r="109">
      <c r="A109" s="14" t="inlineStr">
        <is>
          <t>FE-CHAT-14</t>
        </is>
      </c>
      <c r="B109" s="14" t="inlineStr">
        <is>
          <t>FE-CHAT</t>
        </is>
      </c>
      <c r="C109" s="14" t="inlineStr">
        <is>
          <t>Chat (HP-05 · task 0.21–0.27, 0.37)</t>
        </is>
      </c>
      <c r="D109" s="14" t="inlineStr">
        <is>
          <t>P1</t>
        </is>
      </c>
      <c r="E109" s="14" t="inlineStr">
        <is>
          <t>Chat info กลุ่ม</t>
        </is>
      </c>
      <c r="F109" s="14" t="inlineStr">
        <is>
          <t>แตะชื่อห้องที่ header ของกลุ่ม</t>
        </is>
      </c>
      <c r="G109" s="14" t="inlineStr">
        <is>
          <t>หน้าเต็มจอ avatar + ชื่อ + "Group · N members" · ปุ่ม Mute / Search / Leave · แท็บ Members · Media · Files · Links · Threads · Pinned เลื่อนได้ · ข้อมูลแต่ละแท็บตรงกับเว็บ</t>
        </is>
      </c>
      <c r="H109" s="14" t="inlineStr">
        <is>
          <t>§9.8</t>
        </is>
      </c>
      <c r="I109" s="15" t="inlineStr">
        <is>
          <t>Blocked</t>
        </is>
      </c>
      <c r="J109" s="14" t="inlineStr">
        <is>
          <t>รอ UI จาก design</t>
        </is>
      </c>
      <c r="K109" s="15" t="inlineStr"/>
      <c r="L109" s="16" t="inlineStr"/>
      <c r="M109" s="15" t="inlineStr"/>
      <c r="N109" s="15" t="inlineStr"/>
      <c r="O109" s="15" t="inlineStr"/>
    </row>
    <row r="110">
      <c r="A110" s="14" t="inlineStr">
        <is>
          <t>FE-CHAT-15</t>
        </is>
      </c>
      <c r="B110" s="14" t="inlineStr">
        <is>
          <t>FE-CHAT</t>
        </is>
      </c>
      <c r="C110" s="14" t="inlineStr">
        <is>
          <t>Chat (HP-05 · task 0.21–0.27, 0.37)</t>
        </is>
      </c>
      <c r="D110" s="14" t="inlineStr">
        <is>
          <t>P1</t>
        </is>
      </c>
      <c r="E110" s="14" t="inlineStr">
        <is>
          <t>เลื่อนหน้า Chat info</t>
        </is>
      </c>
      <c r="F110" s="14" t="inlineStr">
        <is>
          <t>เลื่อนลงในแท็บ Media</t>
        </is>
      </c>
      <c r="G110" s="14" t="inlineStr">
        <is>
          <t>หัวและแถวปุ่มเลื่อนหาย · แถบแท็บติดบนสุด · ชื่อกลุ่มอยู่บน header · กด Leave แล้วมีหน้ายืนยัน</t>
        </is>
      </c>
      <c r="H110" s="14" t="inlineStr">
        <is>
          <t>§9.8</t>
        </is>
      </c>
      <c r="I110" s="15" t="inlineStr">
        <is>
          <t>Blocked</t>
        </is>
      </c>
      <c r="J110" s="14" t="inlineStr">
        <is>
          <t>รอ UI จาก design</t>
        </is>
      </c>
      <c r="K110" s="15" t="inlineStr"/>
      <c r="L110" s="16" t="inlineStr"/>
      <c r="M110" s="15" t="inlineStr"/>
      <c r="N110" s="15" t="inlineStr"/>
      <c r="O110" s="15" t="inlineStr"/>
    </row>
    <row r="111">
      <c r="A111" s="14" t="inlineStr">
        <is>
          <t>FE-CHAT-16</t>
        </is>
      </c>
      <c r="B111" s="14" t="inlineStr">
        <is>
          <t>FE-CHAT</t>
        </is>
      </c>
      <c r="C111" s="14" t="inlineStr">
        <is>
          <t>Chat (HP-05 · task 0.21–0.27, 0.37)</t>
        </is>
      </c>
      <c r="D111" s="14" t="inlineStr">
        <is>
          <t>P1</t>
        </is>
      </c>
      <c r="E111" s="14" t="inlineStr">
        <is>
          <t>สมาชิกและสิทธิ์</t>
        </is>
      </c>
      <c r="F111" s="14" t="inlineStr">
        <is>
          <t>เปิด Members ด้วย Owner และ Member · แตะสมาชิก</t>
        </is>
      </c>
      <c r="G111" s="14" t="inlineStr">
        <is>
          <t>ใต้ชื่อเป็นสถานะ presence · ป้าย owner / admin · Owner เห็น Edit + Make admin / Remove · Member ไม่เห็นเมนูจัดการ · Add members ตามสิทธิ์เว็บ</t>
        </is>
      </c>
      <c r="H111" s="14" t="inlineStr">
        <is>
          <t>§9.8</t>
        </is>
      </c>
      <c r="I111" s="15" t="inlineStr">
        <is>
          <t>Blocked</t>
        </is>
      </c>
      <c r="J111" s="14" t="inlineStr">
        <is>
          <t>รอ UI จาก design</t>
        </is>
      </c>
      <c r="K111" s="15" t="inlineStr"/>
      <c r="L111" s="16" t="inlineStr"/>
      <c r="M111" s="15" t="inlineStr"/>
      <c r="N111" s="15" t="inlineStr"/>
      <c r="O111" s="15" t="inlineStr"/>
    </row>
    <row r="112">
      <c r="A112" s="14" t="inlineStr">
        <is>
          <t>FE-CHAT-17</t>
        </is>
      </c>
      <c r="B112" s="14" t="inlineStr">
        <is>
          <t>FE-CHAT</t>
        </is>
      </c>
      <c r="C112" s="14" t="inlineStr">
        <is>
          <t>Chat (HP-05 · task 0.21–0.27, 0.37)</t>
        </is>
      </c>
      <c r="D112" s="14" t="inlineStr">
        <is>
          <t>P2</t>
        </is>
      </c>
      <c r="E112" s="14" t="inlineStr">
        <is>
          <t>Chat info ของ DM</t>
        </is>
      </c>
      <c r="F112" s="14" t="inlineStr">
        <is>
          <t>แตะชื่อใน DM</t>
        </is>
      </c>
      <c r="G112" s="14" t="inlineStr">
        <is>
          <t>ไม่มีแท็บ Members · ปุ่มเหลือ Mute + Search · ไม่มี Leave / Edit</t>
        </is>
      </c>
      <c r="H112" s="14" t="inlineStr">
        <is>
          <t>§9.8</t>
        </is>
      </c>
      <c r="I112" s="15" t="inlineStr">
        <is>
          <t>Blocked</t>
        </is>
      </c>
      <c r="J112" s="14" t="inlineStr">
        <is>
          <t>รอ UI จาก design</t>
        </is>
      </c>
      <c r="K112" s="15" t="inlineStr"/>
      <c r="L112" s="16" t="inlineStr"/>
      <c r="M112" s="15" t="inlineStr"/>
      <c r="N112" s="15" t="inlineStr"/>
      <c r="O112" s="15" t="inlineStr"/>
    </row>
    <row r="113">
      <c r="A113" s="14" t="inlineStr">
        <is>
          <t>FE-PUSH-01</t>
        </is>
      </c>
      <c r="B113" s="14" t="inlineStr">
        <is>
          <t>FE-PUSH</t>
        </is>
      </c>
      <c r="C113" s="14" t="inlineStr">
        <is>
          <t>Push notification ฝั่งเครื่อง (HP-08 · task 0.34, 1.8, 2.5, 2.6)</t>
        </is>
      </c>
      <c r="D113" s="14" t="inlineStr">
        <is>
          <t>P0</t>
        </is>
      </c>
      <c r="E113" s="14" t="inlineStr">
        <is>
          <t>ได้ push ตอนแอปอยู่ background / ปิด</t>
        </is>
      </c>
      <c r="F113" s="14" t="inlineStr">
        <is>
          <t>อีกคนส่ง DM / mention</t>
        </is>
      </c>
      <c r="G113" s="14" t="inlineStr">
        <is>
          <t>push ขึ้น · เนื้อหาเป็นข้อความจริง + ชื่อห้อง + ชื่อ workspace</t>
        </is>
      </c>
      <c r="H113" s="14" t="inlineStr">
        <is>
          <t>§12.5 ข้อ 4</t>
        </is>
      </c>
      <c r="I113" s="15" t="inlineStr">
        <is>
          <t>ยังไม่ทดสอบ</t>
        </is>
      </c>
      <c r="J113" s="14" t="inlineStr"/>
      <c r="K113" s="15" t="inlineStr"/>
      <c r="L113" s="16" t="inlineStr"/>
      <c r="M113" s="15" t="inlineStr"/>
      <c r="N113" s="15" t="inlineStr"/>
      <c r="O113" s="15" t="inlineStr"/>
    </row>
    <row r="114">
      <c r="A114" s="14" t="inlineStr">
        <is>
          <t>FE-PUSH-02</t>
        </is>
      </c>
      <c r="B114" s="14" t="inlineStr">
        <is>
          <t>FE-PUSH</t>
        </is>
      </c>
      <c r="C114" s="14" t="inlineStr">
        <is>
          <t>Push notification ฝั่งเครื่อง (HP-08 · task 0.34, 1.8, 2.5, 2.6)</t>
        </is>
      </c>
      <c r="D114" s="14" t="inlineStr">
        <is>
          <t>P0</t>
        </is>
      </c>
      <c r="E114" s="14" t="inlineStr">
        <is>
          <t>แตะ push DM / mention</t>
        </is>
      </c>
      <c r="F114" s="14" t="inlineStr">
        <is>
          <t>แตะ push</t>
        </is>
      </c>
      <c r="G114" s="14" t="inlineStr">
        <is>
          <t>เปิดแอปเข้าห้องแชทนั้นตรง ๆ</t>
        </is>
      </c>
      <c r="H114" s="14" t="inlineStr">
        <is>
          <t>§12.5 ข้อ 4</t>
        </is>
      </c>
      <c r="I114" s="15" t="inlineStr">
        <is>
          <t>ยังไม่ทดสอบ</t>
        </is>
      </c>
      <c r="J114" s="14" t="inlineStr"/>
      <c r="K114" s="15" t="inlineStr"/>
      <c r="L114" s="16" t="inlineStr"/>
      <c r="M114" s="15" t="inlineStr"/>
      <c r="N114" s="15" t="inlineStr"/>
      <c r="O114" s="15" t="inlineStr"/>
    </row>
    <row r="115">
      <c r="A115" s="14" t="inlineStr">
        <is>
          <t>FE-PUSH-03</t>
        </is>
      </c>
      <c r="B115" s="14" t="inlineStr">
        <is>
          <t>FE-PUSH</t>
        </is>
      </c>
      <c r="C115" s="14" t="inlineStr">
        <is>
          <t>Push notification ฝั่งเครื่อง (HP-08 · task 0.34, 1.8, 2.5, 2.6)</t>
        </is>
      </c>
      <c r="D115" s="14" t="inlineStr">
        <is>
          <t>P1</t>
        </is>
      </c>
      <c r="E115" s="14" t="inlineStr">
        <is>
          <t>แตะ push broadcast / weather</t>
        </is>
      </c>
      <c r="F115" s="14" t="inlineStr">
        <is>
          <t>แตะ push</t>
        </is>
      </c>
      <c r="G115" s="14" t="inlineStr">
        <is>
          <t>เปิดแอปเฉย ๆ (หน้าเฉพาะรอ subtask อื่น)</t>
        </is>
      </c>
      <c r="H115" s="14" t="inlineStr">
        <is>
          <t>§12.5 ข้อ 9</t>
        </is>
      </c>
      <c r="I115" s="15" t="inlineStr">
        <is>
          <t>ยังไม่ทดสอบ</t>
        </is>
      </c>
      <c r="J115" s="14" t="inlineStr"/>
      <c r="K115" s="15" t="inlineStr"/>
      <c r="L115" s="16" t="inlineStr"/>
      <c r="M115" s="15" t="inlineStr"/>
      <c r="N115" s="15" t="inlineStr"/>
      <c r="O115" s="15" t="inlineStr"/>
    </row>
    <row r="116">
      <c r="A116" s="14" t="inlineStr">
        <is>
          <t>FE-PUSH-04</t>
        </is>
      </c>
      <c r="B116" s="14" t="inlineStr">
        <is>
          <t>FE-PUSH</t>
        </is>
      </c>
      <c r="C116" s="14" t="inlineStr">
        <is>
          <t>Push notification ฝั่งเครื่อง (HP-08 · task 0.34, 1.8, 2.5, 2.6)</t>
        </is>
      </c>
      <c r="D116" s="14" t="inlineStr">
        <is>
          <t>P1</t>
        </is>
      </c>
      <c r="E116" s="14" t="inlineStr">
        <is>
          <t>แอปเปิดอยู่</t>
        </is>
      </c>
      <c r="F116" s="14" t="inlineStr">
        <is>
          <t>ได้ notification ตอนใช้แอป</t>
        </is>
      </c>
      <c r="G116" s="14" t="inlineStr">
        <is>
          <t>ไม่ขึ้น push ของระบบ · ขึ้น banner ในแอปแทน</t>
        </is>
      </c>
      <c r="H116" s="14" t="inlineStr">
        <is>
          <t>§12.5 ข้อ 9</t>
        </is>
      </c>
      <c r="I116" s="15" t="inlineStr">
        <is>
          <t>ยังไม่ทดสอบ</t>
        </is>
      </c>
      <c r="J116" s="14" t="inlineStr"/>
      <c r="K116" s="15" t="inlineStr"/>
      <c r="L116" s="16" t="inlineStr"/>
      <c r="M116" s="15" t="inlineStr"/>
      <c r="N116" s="15" t="inlineStr"/>
      <c r="O116" s="15" t="inlineStr"/>
    </row>
    <row r="117">
      <c r="A117" s="14" t="inlineStr">
        <is>
          <t>FE-PUSH-05</t>
        </is>
      </c>
      <c r="B117" s="14" t="inlineStr">
        <is>
          <t>FE-PUSH</t>
        </is>
      </c>
      <c r="C117" s="14" t="inlineStr">
        <is>
          <t>Push notification ฝั่งเครื่อง (HP-08 · task 0.34, 1.8, 2.5, 2.6)</t>
        </is>
      </c>
      <c r="D117" s="14" t="inlineStr">
        <is>
          <t>P1</t>
        </is>
      </c>
      <c r="E117" s="14" t="inlineStr">
        <is>
          <t>badge บนไอคอนแอป</t>
        </is>
      </c>
      <c r="F117" s="14" t="inlineStr">
        <is>
          <t>มีแชทยังไม่อ่าน + notification ยังไม่อ่าน</t>
        </is>
      </c>
      <c r="G117" s="14" t="inlineStr">
        <is>
          <t>ตัวเลข = รวม 2 อย่าง · อ่านแล้วลดตาม</t>
        </is>
      </c>
      <c r="H117" s="14" t="inlineStr">
        <is>
          <t>§12.5 ข้อ 10</t>
        </is>
      </c>
      <c r="I117" s="15" t="inlineStr">
        <is>
          <t>ยังไม่ทดสอบ</t>
        </is>
      </c>
      <c r="J117" s="14" t="inlineStr"/>
      <c r="K117" s="15" t="inlineStr"/>
      <c r="L117" s="16" t="inlineStr"/>
      <c r="M117" s="15" t="inlineStr"/>
      <c r="N117" s="15" t="inlineStr"/>
      <c r="O117" s="15" t="inlineStr"/>
    </row>
    <row r="118">
      <c r="A118" s="14" t="inlineStr">
        <is>
          <t>FE-PUSH-06</t>
        </is>
      </c>
      <c r="B118" s="14" t="inlineStr">
        <is>
          <t>FE-PUSH</t>
        </is>
      </c>
      <c r="C118" s="14" t="inlineStr">
        <is>
          <t>Push notification ฝั่งเครื่อง (HP-08 · task 0.34, 1.8, 2.5, 2.6)</t>
        </is>
      </c>
      <c r="D118" s="14" t="inlineStr">
        <is>
          <t>P0</t>
        </is>
      </c>
      <c r="E118" s="14" t="inlineStr">
        <is>
          <t>สวิตช์เดียวต่อแถว = push</t>
        </is>
      </c>
      <c r="F118" s="14" t="inlineStr">
        <is>
          <t>ปิดสวิตช์ Messages ในหน้า Notification settings</t>
        </is>
      </c>
      <c r="G118" s="14" t="inlineStr">
        <is>
          <t>ไม่ได้ push ข้อความใหม่ · ยังเห็นในหน้า Notification ในแอป · หน้าตั้งค่ามีสวิตช์เดียว 48×24 + คำอธิบายทุกแถว</t>
        </is>
      </c>
      <c r="H118" s="14" t="inlineStr">
        <is>
          <t>§19.3</t>
        </is>
      </c>
      <c r="I118" s="15" t="inlineStr">
        <is>
          <t>ยังไม่ทดสอบ</t>
        </is>
      </c>
      <c r="J118" s="14" t="inlineStr"/>
      <c r="K118" s="15" t="inlineStr"/>
      <c r="L118" s="16" t="inlineStr"/>
      <c r="M118" s="15" t="inlineStr"/>
      <c r="N118" s="15" t="inlineStr"/>
      <c r="O118" s="15" t="inlineStr"/>
    </row>
    <row r="119">
      <c r="A119" s="14" t="inlineStr">
        <is>
          <t>FE-PUSH-07</t>
        </is>
      </c>
      <c r="B119" s="14" t="inlineStr">
        <is>
          <t>FE-PUSH</t>
        </is>
      </c>
      <c r="C119" s="14" t="inlineStr">
        <is>
          <t>Push notification ฝั่งเครื่อง (HP-08 · task 0.34, 1.8, 2.5, 2.6)</t>
        </is>
      </c>
      <c r="D119" s="14" t="inlineStr">
        <is>
          <t>P1</t>
        </is>
      </c>
      <c r="E119" s="14" t="inlineStr">
        <is>
          <t>ยังไม่อนุญาต notification</t>
        </is>
      </c>
      <c r="F119" s="14" t="inlineStr">
        <is>
          <t>ปฏิเสธตอนแรก แล้วเปิด Notification settings</t>
        </is>
      </c>
      <c r="G119" s="14" t="inlineStr">
        <is>
          <t>banner + ปุ่ม Allow notifications · สวิตช์ Push กดไม่ได้ · กด Allow → ไป Settings ของเครื่อง · กลับมาแล้ว banner หายถ้าอนุญาตแล้ว</t>
        </is>
      </c>
      <c r="H119" s="14" t="inlineStr">
        <is>
          <t>§12.6</t>
        </is>
      </c>
      <c r="I119" s="15" t="inlineStr">
        <is>
          <t>ยังไม่ทดสอบ</t>
        </is>
      </c>
      <c r="J119" s="14" t="inlineStr"/>
      <c r="K119" s="15" t="inlineStr"/>
      <c r="L119" s="16" t="inlineStr"/>
      <c r="M119" s="15" t="inlineStr"/>
      <c r="N119" s="15" t="inlineStr"/>
      <c r="O119" s="15" t="inlineStr"/>
    </row>
    <row r="120">
      <c r="A120" s="14" t="inlineStr">
        <is>
          <t>FE-PUSH-08</t>
        </is>
      </c>
      <c r="B120" s="14" t="inlineStr">
        <is>
          <t>FE-PUSH</t>
        </is>
      </c>
      <c r="C120" s="14" t="inlineStr">
        <is>
          <t>Push notification ฝั่งเครื่อง (HP-08 · task 0.34, 1.8, 2.5, 2.6)</t>
        </is>
      </c>
      <c r="D120" s="14" t="inlineStr">
        <is>
          <t>P1</t>
        </is>
      </c>
      <c r="E120" s="14" t="inlineStr">
        <is>
          <t>สวิตช์ใหม่</t>
        </is>
      </c>
      <c r="F120" s="14" t="inlineStr">
        <is>
          <t>ดู Notification settings</t>
        </is>
      </c>
      <c r="G120" s="14" t="inlineStr">
        <is>
          <t>มี Hide chat during meetings · Mute chat sounds in meetings · Pet sounds · Environment sounds พร้อมคำอธิบาย · ไม่มีกลุ่ม Calendar</t>
        </is>
      </c>
      <c r="H120" s="14" t="inlineStr">
        <is>
          <t>§12.5 ข้อ 8, §19.3</t>
        </is>
      </c>
      <c r="I120" s="15" t="inlineStr">
        <is>
          <t>Blocked</t>
        </is>
      </c>
      <c r="J120" s="14" t="inlineStr">
        <is>
          <t>รอ UI จาก design</t>
        </is>
      </c>
      <c r="K120" s="15" t="inlineStr"/>
      <c r="L120" s="16" t="inlineStr"/>
      <c r="M120" s="15" t="inlineStr"/>
      <c r="N120" s="15" t="inlineStr"/>
      <c r="O120" s="15" t="inlineStr"/>
    </row>
    <row r="121">
      <c r="A121" s="14" t="inlineStr">
        <is>
          <t>FE-PUSH-09</t>
        </is>
      </c>
      <c r="B121" s="14" t="inlineStr">
        <is>
          <t>FE-PUSH</t>
        </is>
      </c>
      <c r="C121" s="14" t="inlineStr">
        <is>
          <t>Push notification ฝั่งเครื่อง (HP-08 · task 0.34, 1.8, 2.5, 2.6)</t>
        </is>
      </c>
      <c r="D121" s="14" t="inlineStr">
        <is>
          <t>P1</t>
        </is>
      </c>
      <c r="E121" s="14" t="inlineStr">
        <is>
          <t>logout แล้วไม่ได้ push</t>
        </is>
      </c>
      <c r="F121" s="14" t="inlineStr">
        <is>
          <t>logout แล้วให้อีกคนส่ง DM</t>
        </is>
      </c>
      <c r="G121" s="14" t="inlineStr">
        <is>
          <t>เครื่องนี้ไม่ได้ push</t>
        </is>
      </c>
      <c r="H121" s="14" t="inlineStr">
        <is>
          <t>task 1.8</t>
        </is>
      </c>
      <c r="I121" s="15" t="inlineStr">
        <is>
          <t>ยังไม่ทดสอบ</t>
        </is>
      </c>
      <c r="J121" s="14" t="inlineStr"/>
      <c r="K121" s="15" t="inlineStr"/>
      <c r="L121" s="16" t="inlineStr"/>
      <c r="M121" s="15" t="inlineStr"/>
      <c r="N121" s="15" t="inlineStr"/>
      <c r="O121" s="15" t="inlineStr"/>
    </row>
    <row r="122">
      <c r="A122" s="14" t="inlineStr">
        <is>
          <t>FE-PUSH-10</t>
        </is>
      </c>
      <c r="B122" s="14" t="inlineStr">
        <is>
          <t>FE-PUSH</t>
        </is>
      </c>
      <c r="C122" s="14" t="inlineStr">
        <is>
          <t>Push notification ฝั่งเครื่อง (HP-08 · task 0.34, 1.8, 2.5, 2.6)</t>
        </is>
      </c>
      <c r="D122" s="14" t="inlineStr">
        <is>
          <t>-</t>
        </is>
      </c>
      <c r="E122" s="14" t="inlineStr">
        <is>
          <t>Meeting reminder 15 นาที</t>
        </is>
      </c>
      <c r="F122" s="14" t="inlineStr">
        <is>
          <t>—</t>
        </is>
      </c>
      <c r="G122" s="14" t="inlineStr">
        <is>
          <t>รอฟีเจอร์ Calendar</t>
        </is>
      </c>
      <c r="H122" s="14" t="inlineStr">
        <is>
          <t>§12.5 ข้อ 5</t>
        </is>
      </c>
      <c r="I122" s="15" t="inlineStr">
        <is>
          <t>Blocked</t>
        </is>
      </c>
      <c r="J122" s="14" t="inlineStr">
        <is>
          <t>Phase หลัง</t>
        </is>
      </c>
      <c r="K122" s="15" t="inlineStr"/>
      <c r="L122" s="16" t="inlineStr"/>
      <c r="M122" s="15" t="inlineStr"/>
      <c r="N122" s="15" t="inlineStr"/>
      <c r="O122" s="15" t="inlineStr"/>
    </row>
    <row r="123">
      <c r="A123" s="14" t="inlineStr">
        <is>
          <t>FE-PERM-01</t>
        </is>
      </c>
      <c r="B123" s="14" t="inlineStr">
        <is>
          <t>FE-PERM</t>
        </is>
      </c>
      <c r="C123" s="14" t="inlineStr">
        <is>
          <t>สิทธิ์กล้องและไมค์ (HP-09 · task 0.35, 1.14)</t>
        </is>
      </c>
      <c r="D123" s="14" t="inlineStr">
        <is>
          <t>P0</t>
        </is>
      </c>
      <c r="E123" s="14" t="inlineStr">
        <is>
          <t>ขอสิทธิ์ตอนกดปุ่ม</t>
        </is>
      </c>
      <c r="F123" s="14" t="inlineStr">
        <is>
          <t>กดปุ่มกล้องครั้งแรก (Lite และ Spatial)</t>
        </is>
      </c>
      <c r="G123" s="14" t="inlineStr">
        <is>
          <t>sheet "Turn on your camera" (Continue / Not now) → Continue → dialog ระบบ · ไม่มีการขอก่อน join</t>
        </is>
      </c>
      <c r="H123" s="14" t="inlineStr">
        <is>
          <t>§13.6 A</t>
        </is>
      </c>
      <c r="I123" s="15" t="inlineStr">
        <is>
          <t>ยังไม่ทดสอบ</t>
        </is>
      </c>
      <c r="J123" s="14" t="inlineStr"/>
      <c r="K123" s="15" t="inlineStr"/>
      <c r="L123" s="16" t="inlineStr"/>
      <c r="M123" s="15" t="inlineStr"/>
      <c r="N123" s="15" t="inlineStr"/>
      <c r="O123" s="15" t="inlineStr"/>
    </row>
    <row r="124">
      <c r="A124" s="14" t="inlineStr">
        <is>
          <t>FE-PERM-02</t>
        </is>
      </c>
      <c r="B124" s="14" t="inlineStr">
        <is>
          <t>FE-PERM</t>
        </is>
      </c>
      <c r="C124" s="14" t="inlineStr">
        <is>
          <t>สิทธิ์กล้องและไมค์ (HP-09 · task 0.35, 1.14)</t>
        </is>
      </c>
      <c r="D124" s="14" t="inlineStr">
        <is>
          <t>P1</t>
        </is>
      </c>
      <c r="E124" s="14" t="inlineStr">
        <is>
          <t>Not now</t>
        </is>
      </c>
      <c r="F124" s="14" t="inlineStr">
        <is>
          <t>กด Not now</t>
        </is>
      </c>
      <c r="G124" s="14" t="inlineStr">
        <is>
          <t>ปิด sheet · กล้องยังปิด · กดครั้งหน้า sheet ขึ้นอีก</t>
        </is>
      </c>
      <c r="H124" s="14" t="inlineStr">
        <is>
          <t>§13.6 A</t>
        </is>
      </c>
      <c r="I124" s="15" t="inlineStr">
        <is>
          <t>ยังไม่ทดสอบ</t>
        </is>
      </c>
      <c r="J124" s="14" t="inlineStr"/>
      <c r="K124" s="15" t="inlineStr"/>
      <c r="L124" s="16" t="inlineStr"/>
      <c r="M124" s="15" t="inlineStr"/>
      <c r="N124" s="15" t="inlineStr"/>
      <c r="O124" s="15" t="inlineStr"/>
    </row>
    <row r="125">
      <c r="A125" s="14" t="inlineStr">
        <is>
          <t>FE-PERM-03</t>
        </is>
      </c>
      <c r="B125" s="14" t="inlineStr">
        <is>
          <t>FE-PERM</t>
        </is>
      </c>
      <c r="C125" s="14" t="inlineStr">
        <is>
          <t>สิทธิ์กล้องและไมค์ (HP-09 · task 0.35, 1.14)</t>
        </is>
      </c>
      <c r="D125" s="14" t="inlineStr">
        <is>
          <t>P0</t>
        </is>
      </c>
      <c r="E125" s="14" t="inlineStr">
        <is>
          <t>ถูกปฏิเสธแล้ว</t>
        </is>
      </c>
      <c r="F125" s="14" t="inlineStr">
        <is>
          <t>ปฏิเสธใน dialog ระบบ แล้วกดปุ่มอีกครั้ง</t>
        </is>
      </c>
      <c r="G125" s="14" t="inlineStr">
        <is>
          <t>native alert "Unable to access camera" · Settings เปิดหน้า Settings ของแอป · กลับมาแล้วต้องกดปุ่มเอง</t>
        </is>
      </c>
      <c r="H125" s="14" t="inlineStr">
        <is>
          <t>§13.6 B</t>
        </is>
      </c>
      <c r="I125" s="15" t="inlineStr">
        <is>
          <t>ยังไม่ทดสอบ</t>
        </is>
      </c>
      <c r="J125" s="14" t="inlineStr"/>
      <c r="K125" s="15" t="inlineStr"/>
      <c r="L125" s="16" t="inlineStr"/>
      <c r="M125" s="15" t="inlineStr"/>
      <c r="N125" s="15" t="inlineStr"/>
      <c r="O125" s="15" t="inlineStr"/>
    </row>
    <row r="126">
      <c r="A126" s="14" t="inlineStr">
        <is>
          <t>FE-PERM-04</t>
        </is>
      </c>
      <c r="B126" s="14" t="inlineStr">
        <is>
          <t>FE-PERM</t>
        </is>
      </c>
      <c r="C126" s="14" t="inlineStr">
        <is>
          <t>สิทธิ์กล้องและไมค์ (HP-09 · task 0.35, 1.14)</t>
        </is>
      </c>
      <c r="D126" s="14" t="inlineStr">
        <is>
          <t>P1</t>
        </is>
      </c>
      <c r="E126" s="14" t="inlineStr">
        <is>
          <t>เครื่องหมายเตือนบนปุ่ม</t>
        </is>
      </c>
      <c r="F126" s="14" t="inlineStr">
        <is>
          <t>หลังถูกปฏิเสธ</t>
        </is>
      </c>
      <c r="G126" s="14" t="inlineStr">
        <is>
          <t>ปุ่มกล้อง/ไมค์มีวงกลมเหลือง ! มุมขวาบน</t>
        </is>
      </c>
      <c r="H126" s="14" t="inlineStr">
        <is>
          <t>§13.6 C</t>
        </is>
      </c>
      <c r="I126" s="15" t="inlineStr">
        <is>
          <t>ยังไม่ทดสอบ</t>
        </is>
      </c>
      <c r="J126" s="14" t="inlineStr"/>
      <c r="K126" s="15" t="inlineStr"/>
      <c r="L126" s="16" t="inlineStr"/>
      <c r="M126" s="15" t="inlineStr"/>
      <c r="N126" s="15" t="inlineStr"/>
      <c r="O126" s="15" t="inlineStr"/>
    </row>
    <row r="127">
      <c r="A127" s="14" t="inlineStr">
        <is>
          <t>FE-PERM-05</t>
        </is>
      </c>
      <c r="B127" s="14" t="inlineStr">
        <is>
          <t>FE-PERM</t>
        </is>
      </c>
      <c r="C127" s="14" t="inlineStr">
        <is>
          <t>สิทธิ์กล้องและไมค์ (HP-09 · task 0.35, 1.14)</t>
        </is>
      </c>
      <c r="D127" s="14" t="inlineStr">
        <is>
          <t>P1</t>
        </is>
      </c>
      <c r="E127" s="14" t="inlineStr">
        <is>
          <t>ปฏิเสธทั้งคู่</t>
        </is>
      </c>
      <c r="F127" s="14" t="inlineStr">
        <is>
          <t>ปฏิเสธกล้องและไมค์</t>
        </is>
      </c>
      <c r="G127" s="14" t="inlineStr">
        <is>
          <t>ยังอยู่ในห้องได้ ฟังและดูคนอื่นได้ (ไม่มี View Only mode แยก)</t>
        </is>
      </c>
      <c r="H127" s="14" t="inlineStr">
        <is>
          <t>clickup-spec §18 ข้อ 55</t>
        </is>
      </c>
      <c r="I127" s="15" t="inlineStr">
        <is>
          <t>ยังไม่ทดสอบ</t>
        </is>
      </c>
      <c r="J127" s="14" t="inlineStr"/>
      <c r="K127" s="15" t="inlineStr"/>
      <c r="L127" s="16" t="inlineStr"/>
      <c r="M127" s="15" t="inlineStr"/>
      <c r="N127" s="15" t="inlineStr"/>
      <c r="O127" s="15" t="inlineStr"/>
    </row>
    <row r="128">
      <c r="A128" s="14" t="inlineStr">
        <is>
          <t>FE-PERM-06</t>
        </is>
      </c>
      <c r="B128" s="14" t="inlineStr">
        <is>
          <t>FE-PERM</t>
        </is>
      </c>
      <c r="C128" s="14" t="inlineStr">
        <is>
          <t>สิทธิ์กล้องและไมค์ (HP-09 · task 0.35, 1.14)</t>
        </is>
      </c>
      <c r="D128" s="14" t="inlineStr">
        <is>
          <t>P1</t>
        </is>
      </c>
      <c r="E128" s="14" t="inlineStr">
        <is>
          <t>mobile web</t>
        </is>
      </c>
      <c r="F128" s="14" t="inlineStr">
        <is>
          <t>ปฏิเสธใน Safari / Chrome มือถือ</t>
        </is>
      </c>
      <c r="G128" s="14" t="inlineStr">
        <is>
          <t>sheet คู่มือเปิดสิทธิ์ (Safari: aA → Website Settings · Chrome: แม่กุญแจ → Permissions)</t>
        </is>
      </c>
      <c r="H128" s="14" t="inlineStr">
        <is>
          <t>§13.6 D</t>
        </is>
      </c>
      <c r="I128" s="15" t="inlineStr">
        <is>
          <t>ยังไม่ทดสอบ</t>
        </is>
      </c>
      <c r="J128" s="14" t="inlineStr"/>
      <c r="K128" s="15" t="inlineStr"/>
      <c r="L128" s="16" t="inlineStr"/>
      <c r="M128" s="15" t="inlineStr"/>
      <c r="N128" s="15" t="inlineStr"/>
      <c r="O128" s="15" t="inlineStr"/>
    </row>
    <row r="129">
      <c r="A129" s="14" t="inlineStr">
        <is>
          <t>FE-PERM-07</t>
        </is>
      </c>
      <c r="B129" s="14" t="inlineStr">
        <is>
          <t>FE-PERM</t>
        </is>
      </c>
      <c r="C129" s="14" t="inlineStr">
        <is>
          <t>สิทธิ์กล้องและไมค์ (HP-09 · task 0.35, 1.14)</t>
        </is>
      </c>
      <c r="D129" s="14" t="inlineStr">
        <is>
          <t>P0</t>
        </is>
      </c>
      <c r="E129" s="14" t="inlineStr">
        <is>
          <t>ข้อความ usage description</t>
        </is>
      </c>
      <c r="F129" s="14" t="inlineStr">
        <is>
          <t>ดู dialog ระบบ iOS</t>
        </is>
      </c>
      <c r="G129" s="14" t="inlineStr">
        <is>
          <t>ข้อความตาม Figma ("Zyra needs access to your camera so others can see you…")</t>
        </is>
      </c>
      <c r="H129" s="14" t="inlineStr">
        <is>
          <t>task 1.14</t>
        </is>
      </c>
      <c r="I129" s="15" t="inlineStr">
        <is>
          <t>ยังไม่ทดสอบ</t>
        </is>
      </c>
      <c r="J129" s="14" t="inlineStr"/>
      <c r="K129" s="15" t="inlineStr"/>
      <c r="L129" s="16" t="inlineStr"/>
      <c r="M129" s="15" t="inlineStr"/>
      <c r="N129" s="15" t="inlineStr"/>
      <c r="O129" s="15" t="inlineStr"/>
    </row>
    <row r="130">
      <c r="A130" s="14" t="inlineStr">
        <is>
          <t>FE-CONN-01</t>
        </is>
      </c>
      <c r="B130" s="14" t="inlineStr">
        <is>
          <t>FE-CONN</t>
        </is>
      </c>
      <c r="C130" s="14" t="inlineStr">
        <is>
          <t>เน็ตหลุด / เน็ตแย่ (HP-10, EP-02 · task 0.36, 0.40, 1.11)</t>
        </is>
      </c>
      <c r="D130" s="14" t="inlineStr">
        <is>
          <t>P0</t>
        </is>
      </c>
      <c r="E130" s="14" t="inlineStr">
        <is>
          <t>เน็ตเราแย่</t>
        </is>
      </c>
      <c r="F130" s="14" t="inlineStr">
        <is>
          <t>ลด bandwidth ของเครื่องตัวเอง</t>
        </is>
      </c>
      <c r="G130" s="14" t="inlineStr">
        <is>
          <t>toast "Poor connection" ล่างจอ · × ซ่อน 20 วิ</t>
        </is>
      </c>
      <c r="H130" s="14" t="inlineStr">
        <is>
          <t>§14.6 ข้อ 1</t>
        </is>
      </c>
      <c r="I130" s="15" t="inlineStr">
        <is>
          <t>ยังไม่ทดสอบ</t>
        </is>
      </c>
      <c r="J130" s="14" t="inlineStr"/>
      <c r="K130" s="15" t="inlineStr"/>
      <c r="L130" s="16" t="inlineStr"/>
      <c r="M130" s="15" t="inlineStr"/>
      <c r="N130" s="15" t="inlineStr"/>
      <c r="O130" s="15" t="inlineStr"/>
    </row>
    <row r="131">
      <c r="A131" s="14" t="inlineStr">
        <is>
          <t>FE-CONN-02</t>
        </is>
      </c>
      <c r="B131" s="14" t="inlineStr">
        <is>
          <t>FE-CONN</t>
        </is>
      </c>
      <c r="C131" s="14" t="inlineStr">
        <is>
          <t>เน็ตหลุด / เน็ตแย่ (HP-10, EP-02 · task 0.36, 0.40, 1.11)</t>
        </is>
      </c>
      <c r="D131" s="14" t="inlineStr">
        <is>
          <t>P1</t>
        </is>
      </c>
      <c r="E131" s="14" t="inlineStr">
        <is>
          <t>เน็ตคนอื่นแย่</t>
        </is>
      </c>
      <c r="F131" s="14" t="inlineStr">
        <is>
          <t>ลด bandwidth ของอีกเครื่อง</t>
        </is>
      </c>
      <c r="G131" s="14" t="inlineStr">
        <is>
          <t>เราไม่ได้ toast · เห็น spinner บนป้ายชื่อของคนนั้น</t>
        </is>
      </c>
      <c r="H131" s="14" t="inlineStr">
        <is>
          <t>§14.6 ข้อ 1</t>
        </is>
      </c>
      <c r="I131" s="15" t="inlineStr">
        <is>
          <t>ยังไม่ทดสอบ</t>
        </is>
      </c>
      <c r="J131" s="14" t="inlineStr"/>
      <c r="K131" s="15" t="inlineStr"/>
      <c r="L131" s="16" t="inlineStr"/>
      <c r="M131" s="15" t="inlineStr"/>
      <c r="N131" s="15" t="inlineStr"/>
      <c r="O131" s="15" t="inlineStr"/>
    </row>
    <row r="132">
      <c r="A132" s="14" t="inlineStr">
        <is>
          <t>FE-CONN-03</t>
        </is>
      </c>
      <c r="B132" s="14" t="inlineStr">
        <is>
          <t>FE-CONN</t>
        </is>
      </c>
      <c r="C132" s="14" t="inlineStr">
        <is>
          <t>เน็ตหลุด / เน็ตแย่ (HP-10, EP-02 · task 0.36, 0.40, 1.11)</t>
        </is>
      </c>
      <c r="D132" s="14" t="inlineStr">
        <is>
          <t>P0</t>
        </is>
      </c>
      <c r="E132" s="14" t="inlineStr">
        <is>
          <t>เชื่อมต่อใหม่ไม่เกิน 5 ครั้ง</t>
        </is>
      </c>
      <c r="F132" s="14" t="inlineStr">
        <is>
          <t>ตัดเน็ต &lt; 31 วิ แล้วเปิด</t>
        </is>
      </c>
      <c r="G132" s="14" t="inlineStr">
        <is>
          <t>toast Lost connection → Reconnecting... → กลับมาเองไม่ต้องรีเฟรช · ยังอยู่ meeting เดิม</t>
        </is>
      </c>
      <c r="H132" s="14" t="inlineStr">
        <is>
          <t>§14.6 ข้อ 2</t>
        </is>
      </c>
      <c r="I132" s="15" t="inlineStr">
        <is>
          <t>ยังไม่ทดสอบ</t>
        </is>
      </c>
      <c r="J132" s="14" t="inlineStr"/>
      <c r="K132" s="15" t="inlineStr"/>
      <c r="L132" s="16" t="inlineStr"/>
      <c r="M132" s="15" t="inlineStr"/>
      <c r="N132" s="15" t="inlineStr"/>
      <c r="O132" s="15" t="inlineStr"/>
    </row>
    <row r="133">
      <c r="A133" s="14" t="inlineStr">
        <is>
          <t>FE-CONN-04</t>
        </is>
      </c>
      <c r="B133" s="14" t="inlineStr">
        <is>
          <t>FE-CONN</t>
        </is>
      </c>
      <c r="C133" s="14" t="inlineStr">
        <is>
          <t>เน็ตหลุด / เน็ตแย่ (HP-10, EP-02 · task 0.36, 0.40, 1.11)</t>
        </is>
      </c>
      <c r="D133" s="14" t="inlineStr">
        <is>
          <t>P0</t>
        </is>
      </c>
      <c r="E133" s="14" t="inlineStr">
        <is>
          <t>เชื่อมต่อใหม่ไม่สำเร็จครบ 5 ครั้ง</t>
        </is>
      </c>
      <c r="F133" s="14" t="inlineStr">
        <is>
          <t>ตัดเน็ต &gt; 31 วิ</t>
        </is>
      </c>
      <c r="G133" s="14" t="inlineStr">
        <is>
          <t>meeting ตัดจบ (ไม่มีปุ่มเชื่อมต่อใหม่) → หน้าหลัก skeleton + "Reconnecting..." ≤ 30 วิ → ต่อได้ = แสดงข้อมูลจริง · ต่อไม่ได้ = ไป Workspace list + toast "Meeting has ended due to lost connection"</t>
        </is>
      </c>
      <c r="H133" s="14" t="inlineStr">
        <is>
          <t>§14.6 ข้อ 2, §14.8</t>
        </is>
      </c>
      <c r="I133" s="15" t="inlineStr">
        <is>
          <t>ยังไม่ทดสอบ</t>
        </is>
      </c>
      <c r="J133" s="14" t="inlineStr"/>
      <c r="K133" s="15" t="inlineStr"/>
      <c r="L133" s="16" t="inlineStr"/>
      <c r="M133" s="15" t="inlineStr"/>
      <c r="N133" s="15" t="inlineStr"/>
      <c r="O133" s="15" t="inlineStr"/>
    </row>
    <row r="134">
      <c r="A134" s="14" t="inlineStr">
        <is>
          <t>FE-CONN-05</t>
        </is>
      </c>
      <c r="B134" s="14" t="inlineStr">
        <is>
          <t>FE-CONN</t>
        </is>
      </c>
      <c r="C134" s="14" t="inlineStr">
        <is>
          <t>เน็ตหลุด / เน็ตแย่ (HP-10, EP-02 · task 0.36, 0.40, 1.11)</t>
        </is>
      </c>
      <c r="D134" s="14" t="inlineStr">
        <is>
          <t>P1</t>
        </is>
      </c>
      <c r="E134" s="14" t="inlineStr">
        <is>
          <t>skeleton ทั้ง 2 แนว</t>
        </is>
      </c>
      <c r="F134" s="14" t="inlineStr">
        <is>
          <t>ทำ FE-CONN-04 ใน Lite และ Spatial</t>
        </is>
      </c>
      <c r="G134" s="14" t="inlineStr">
        <is>
          <t>Lite: header จริง + แท่ง skeleton · Spatial: พื้นแมพ skeleton + minimap skeleton + joystick ซ่อน</t>
        </is>
      </c>
      <c r="H134" s="14" t="inlineStr">
        <is>
          <t>§14.8</t>
        </is>
      </c>
      <c r="I134" s="15" t="inlineStr">
        <is>
          <t>ยังไม่ทดสอบ</t>
        </is>
      </c>
      <c r="J134" s="14" t="inlineStr"/>
      <c r="K134" s="15" t="inlineStr"/>
      <c r="L134" s="16" t="inlineStr"/>
      <c r="M134" s="15" t="inlineStr"/>
      <c r="N134" s="15" t="inlineStr"/>
      <c r="O134" s="15" t="inlineStr"/>
    </row>
    <row r="135">
      <c r="A135" s="14" t="inlineStr">
        <is>
          <t>FE-CONN-06</t>
        </is>
      </c>
      <c r="B135" s="14" t="inlineStr">
        <is>
          <t>FE-CONN</t>
        </is>
      </c>
      <c r="C135" s="14" t="inlineStr">
        <is>
          <t>เน็ตหลุด / เน็ตแย่ (HP-10, EP-02 · task 0.36, 0.40, 1.11)</t>
        </is>
      </c>
      <c r="D135" s="14" t="inlineStr">
        <is>
          <t>P1</t>
        </is>
      </c>
      <c r="E135" s="14" t="inlineStr">
        <is>
          <t>แอปเปิดตอนไม่มีเน็ต</t>
        </is>
      </c>
      <c r="F135" s="14" t="inlineStr">
        <is>
          <t>เปิดแอปตอนโหมดเครื่องบิน</t>
        </is>
      </c>
      <c r="G135" s="14" t="inlineStr">
        <is>
          <t>หน้า offline ของแอป + ปุ่ม retry (ไม่ใช่หน้า error ของ WebView)</t>
        </is>
      </c>
      <c r="H135" s="14" t="inlineStr">
        <is>
          <t>task 1.11</t>
        </is>
      </c>
      <c r="I135" s="15" t="inlineStr">
        <is>
          <t>ยังไม่ทดสอบ</t>
        </is>
      </c>
      <c r="J135" s="14" t="inlineStr"/>
      <c r="K135" s="15" t="inlineStr"/>
      <c r="L135" s="16" t="inlineStr"/>
      <c r="M135" s="15" t="inlineStr"/>
      <c r="N135" s="15" t="inlineStr"/>
      <c r="O135" s="15" t="inlineStr"/>
    </row>
    <row r="136">
      <c r="A136" s="14" t="inlineStr">
        <is>
          <t>FE-CONN-07</t>
        </is>
      </c>
      <c r="B136" s="14" t="inlineStr">
        <is>
          <t>FE-CONN</t>
        </is>
      </c>
      <c r="C136" s="14" t="inlineStr">
        <is>
          <t>เน็ตหลุด / เน็ตแย่ (HP-10, EP-02 · task 0.36, 0.40, 1.11)</t>
        </is>
      </c>
      <c r="D136" s="14" t="inlineStr">
        <is>
          <t>P1</t>
        </is>
      </c>
      <c r="E136" s="14" t="inlineStr">
        <is>
          <t>uplink แย่ → กล้องปิดเอง</t>
        </is>
      </c>
      <c r="F136" s="14" t="inlineStr">
        <is>
          <t>uplink 200–500 kbps ต่อเนื่อง 10 วิ ขณะเปิดกล้อง</t>
        </is>
      </c>
      <c r="G136" s="14" t="inlineStr">
        <is>
          <t>กล้องปิดเอง + toast "Camera turned off automatically." · ไมค์ยังเปิด · คนอื่นเห็น avatar + spinner</t>
        </is>
      </c>
      <c r="H136" s="14" t="inlineStr">
        <is>
          <t>§16.5</t>
        </is>
      </c>
      <c r="I136" s="15" t="inlineStr">
        <is>
          <t>ยังไม่ทดสอบ</t>
        </is>
      </c>
      <c r="J136" s="14" t="inlineStr"/>
      <c r="K136" s="15" t="inlineStr"/>
      <c r="L136" s="16" t="inlineStr"/>
      <c r="M136" s="15" t="inlineStr"/>
      <c r="N136" s="15" t="inlineStr"/>
      <c r="O136" s="15" t="inlineStr"/>
    </row>
    <row r="137">
      <c r="A137" s="14" t="inlineStr">
        <is>
          <t>FE-CONN-08</t>
        </is>
      </c>
      <c r="B137" s="14" t="inlineStr">
        <is>
          <t>FE-CONN</t>
        </is>
      </c>
      <c r="C137" s="14" t="inlineStr">
        <is>
          <t>เน็ตหลุด / เน็ตแย่ (HP-10, EP-02 · task 0.36, 0.40, 1.11)</t>
        </is>
      </c>
      <c r="D137" s="14" t="inlineStr">
        <is>
          <t>P1</t>
        </is>
      </c>
      <c r="E137" s="14" t="inlineStr">
        <is>
          <t>เน็ตกลับมาดี</t>
        </is>
      </c>
      <c r="F137" s="14" t="inlineStr">
        <is>
          <t>uplink &gt; 1 Mbps นาน 10 วิ</t>
        </is>
      </c>
      <c r="G137" s="14" t="inlineStr">
        <is>
          <t>toast "Connection restored. Camera is ready." · กล้องไม่เปิดเอง</t>
        </is>
      </c>
      <c r="H137" s="14" t="inlineStr">
        <is>
          <t>§16.5 ข้อ 5</t>
        </is>
      </c>
      <c r="I137" s="15" t="inlineStr">
        <is>
          <t>ยังไม่ทดสอบ</t>
        </is>
      </c>
      <c r="J137" s="14" t="inlineStr"/>
      <c r="K137" s="15" t="inlineStr"/>
      <c r="L137" s="16" t="inlineStr"/>
      <c r="M137" s="15" t="inlineStr"/>
      <c r="N137" s="15" t="inlineStr"/>
      <c r="O137" s="15" t="inlineStr"/>
    </row>
    <row r="138">
      <c r="A138" s="14" t="inlineStr">
        <is>
          <t>FE-CONN-09</t>
        </is>
      </c>
      <c r="B138" s="14" t="inlineStr">
        <is>
          <t>FE-CONN</t>
        </is>
      </c>
      <c r="C138" s="14" t="inlineStr">
        <is>
          <t>เน็ตหลุด / เน็ตแย่ (HP-10, EP-02 · task 0.36, 0.40, 1.11)</t>
        </is>
      </c>
      <c r="D138" s="14" t="inlineStr">
        <is>
          <t>P1</t>
        </is>
      </c>
      <c r="E138" s="14" t="inlineStr">
        <is>
          <t>ปิดกล้องเองอยู่แล้ว</t>
        </is>
      </c>
      <c r="F138" s="14" t="inlineStr">
        <is>
          <t>ปิดกล้องเองแล้วลด uplink</t>
        </is>
      </c>
      <c r="G138" s="14" t="inlineStr">
        <is>
          <t>ไม่ขึ้น toast เรื่องกล้อง</t>
        </is>
      </c>
      <c r="H138" s="14" t="inlineStr">
        <is>
          <t>§16.5 ข้อ 5</t>
        </is>
      </c>
      <c r="I138" s="15" t="inlineStr">
        <is>
          <t>ยังไม่ทดสอบ</t>
        </is>
      </c>
      <c r="J138" s="14" t="inlineStr"/>
      <c r="K138" s="15" t="inlineStr"/>
      <c r="L138" s="16" t="inlineStr"/>
      <c r="M138" s="15" t="inlineStr"/>
      <c r="N138" s="15" t="inlineStr"/>
      <c r="O138" s="15" t="inlineStr"/>
    </row>
    <row r="139">
      <c r="A139" s="14" t="inlineStr">
        <is>
          <t>FE-CONN-10</t>
        </is>
      </c>
      <c r="B139" s="14" t="inlineStr">
        <is>
          <t>FE-CONN</t>
        </is>
      </c>
      <c r="C139" s="14" t="inlineStr">
        <is>
          <t>เน็ตหลุด / เน็ตแย่ (HP-10, EP-02 · task 0.36, 0.40, 1.11)</t>
        </is>
      </c>
      <c r="D139" s="14" t="inlineStr">
        <is>
          <t>P2</t>
        </is>
      </c>
      <c r="E139" s="14" t="inlineStr">
        <is>
          <t>เน็ตแย่มาก</t>
        </is>
      </c>
      <c r="F139" s="14" t="inlineStr">
        <is>
          <t>uplink &lt; 200 kbps</t>
        </is>
      </c>
      <c r="G139" s="14" t="inlineStr">
        <is>
          <t>toast "Very poor connection."</t>
        </is>
      </c>
      <c r="H139" s="14" t="inlineStr">
        <is>
          <t>§16.5 ข้อ 4</t>
        </is>
      </c>
      <c r="I139" s="15" t="inlineStr">
        <is>
          <t>ยังไม่ทดสอบ</t>
        </is>
      </c>
      <c r="J139" s="14" t="inlineStr"/>
      <c r="K139" s="15" t="inlineStr"/>
      <c r="L139" s="16" t="inlineStr"/>
      <c r="M139" s="15" t="inlineStr"/>
      <c r="N139" s="15" t="inlineStr"/>
      <c r="O139" s="15" t="inlineStr"/>
    </row>
    <row r="140">
      <c r="A140" s="14" t="inlineStr">
        <is>
          <t>FE-CONN-11</t>
        </is>
      </c>
      <c r="B140" s="14" t="inlineStr">
        <is>
          <t>FE-CONN</t>
        </is>
      </c>
      <c r="C140" s="14" t="inlineStr">
        <is>
          <t>เน็ตหลุด / เน็ตแย่ (HP-10, EP-02 · task 0.36, 0.40, 1.11)</t>
        </is>
      </c>
      <c r="D140" s="14" t="inlineStr">
        <is>
          <t>P1</t>
        </is>
      </c>
      <c r="E140" s="14" t="inlineStr">
        <is>
          <t>EP-02 บน desktop</t>
        </is>
      </c>
      <c r="F140" s="14" t="inlineStr">
        <is>
          <t>ทำ FE-CONN-07/08 บน desktop</t>
        </is>
      </c>
      <c r="G140" s="14" t="inlineStr">
        <is>
          <t>พฤติกรรมเดียวกัน</t>
        </is>
      </c>
      <c r="H140" s="14" t="inlineStr">
        <is>
          <t>§16.5 ข้อ 8</t>
        </is>
      </c>
      <c r="I140" s="15" t="inlineStr">
        <is>
          <t>ยังไม่ทดสอบ</t>
        </is>
      </c>
      <c r="J140" s="14" t="inlineStr"/>
      <c r="K140" s="15" t="inlineStr"/>
      <c r="L140" s="16" t="inlineStr"/>
      <c r="M140" s="15" t="inlineStr"/>
      <c r="N140" s="15" t="inlineStr"/>
      <c r="O140" s="15" t="inlineStr"/>
    </row>
    <row r="141">
      <c r="A141" s="14" t="inlineStr">
        <is>
          <t>FE-CONN-12</t>
        </is>
      </c>
      <c r="B141" s="14" t="inlineStr">
        <is>
          <t>FE-CONN</t>
        </is>
      </c>
      <c r="C141" s="14" t="inlineStr">
        <is>
          <t>เน็ตหลุด / เน็ตแย่ (HP-10, EP-02 · task 0.36, 0.40, 1.11)</t>
        </is>
      </c>
      <c r="D141" s="14" t="inlineStr">
        <is>
          <t>P0</t>
        </is>
      </c>
      <c r="E141" s="14" t="inlineStr">
        <is>
          <t>session หลุด 3 แบบ</t>
        </is>
      </c>
      <c r="F141" s="14" t="inlineStr">
        <is>
          <t>(ก) ปล่อย token หมดอายุ (ข) ลบ session จากอีกเครื่อง (ค) เปลี่ยนรหัสจากอีกเครื่อง · ทำตอนอยู่ใน meeting ด้วย</t>
        </is>
      </c>
      <c r="G141" s="14" t="inlineStr">
        <is>
          <t>(ก) toast "Session expired — please log in again" → Get started แล้วกลับหน้าเดิมหลัง login (ข) หน้า "You've been signed out" → Get started (ค) dialog "Password changed" → Get started · ถ้าอยู่ใน meeting ออกจาก meeting ก่อน</t>
        </is>
      </c>
      <c r="H141" s="14" t="inlineStr">
        <is>
          <t>§21.1 · task 0.56</t>
        </is>
      </c>
      <c r="I141" s="15" t="inlineStr">
        <is>
          <t>Blocked</t>
        </is>
      </c>
      <c r="J141" s="14" t="inlineStr">
        <is>
          <t>รอ UI จาก design</t>
        </is>
      </c>
      <c r="K141" s="15" t="inlineStr"/>
      <c r="L141" s="16" t="inlineStr"/>
      <c r="M141" s="15" t="inlineStr"/>
      <c r="N141" s="15" t="inlineStr"/>
      <c r="O141" s="15" t="inlineStr"/>
    </row>
    <row r="142">
      <c r="A142" s="14" t="inlineStr">
        <is>
          <t>FE-CONN-13</t>
        </is>
      </c>
      <c r="B142" s="14" t="inlineStr">
        <is>
          <t>FE-CONN</t>
        </is>
      </c>
      <c r="C142" s="14" t="inlineStr">
        <is>
          <t>เน็ตหลุด / เน็ตแย่ (HP-10, EP-02 · task 0.36, 0.40, 1.11)</t>
        </is>
      </c>
      <c r="D142" s="14" t="inlineStr">
        <is>
          <t>P1</t>
        </is>
      </c>
      <c r="E142" s="14" t="inlineStr">
        <is>
          <t>ปิดปรับปรุง</t>
        </is>
      </c>
      <c r="F142" s="14" t="inlineStr">
        <is>
          <t>เปิด maintenance flag ที่ backend</t>
        </is>
      </c>
      <c r="G142" s="14" t="inlineStr">
        <is>
          <t>หน้า "Zyra World is under maintenance" + ปุ่ม Try again · ไม่ซ้อนกับ toast offline / reconnecting · ปิด flag แล้วกด Try again กลับเข้าใช้ได้</t>
        </is>
      </c>
      <c r="H142" s="14" t="inlineStr">
        <is>
          <t>§21.3 · task 0.58</t>
        </is>
      </c>
      <c r="I142" s="15" t="inlineStr">
        <is>
          <t>Blocked</t>
        </is>
      </c>
      <c r="J142" s="14" t="inlineStr">
        <is>
          <t>รอ UI จาก design</t>
        </is>
      </c>
      <c r="K142" s="15" t="inlineStr"/>
      <c r="L142" s="16" t="inlineStr"/>
      <c r="M142" s="15" t="inlineStr"/>
      <c r="N142" s="15" t="inlineStr"/>
      <c r="O142" s="15" t="inlineStr"/>
    </row>
    <row r="143">
      <c r="A143" s="14" t="inlineStr">
        <is>
          <t>FE-PERF-01</t>
        </is>
      </c>
      <c r="B143" s="14" t="inlineStr">
        <is>
          <t>FE-PERF</t>
        </is>
      </c>
      <c r="C143" s="14" t="inlineStr">
        <is>
          <t>Performance fallback (EP-01 · task 0.38, 0.39, 1.15)</t>
        </is>
      </c>
      <c r="D143" s="14" t="inlineStr">
        <is>
          <t>P1</t>
        </is>
      </c>
      <c r="E143" s="14" t="inlineStr">
        <is>
          <t>L1 FPS &lt; 25</t>
        </is>
      </c>
      <c r="F143" s="14" t="inlineStr">
        <is>
          <t>เครื่องกลางในแมพคนเยอะ</t>
        </is>
      </c>
      <c r="G143" s="14" t="inlineStr">
        <is>
          <t>ลดความละเอียด (DPR 1) · ไม่มี toast</t>
        </is>
      </c>
      <c r="H143" s="14" t="inlineStr">
        <is>
          <t>§15.5</t>
        </is>
      </c>
      <c r="I143" s="15" t="inlineStr">
        <is>
          <t>ยังไม่ทดสอบ</t>
        </is>
      </c>
      <c r="J143" s="14" t="inlineStr"/>
      <c r="K143" s="15" t="inlineStr"/>
      <c r="L143" s="16" t="inlineStr"/>
      <c r="M143" s="15" t="inlineStr"/>
      <c r="N143" s="15" t="inlineStr"/>
      <c r="O143" s="15" t="inlineStr"/>
    </row>
    <row r="144">
      <c r="A144" s="14" t="inlineStr">
        <is>
          <t>FE-PERF-02</t>
        </is>
      </c>
      <c r="B144" s="14" t="inlineStr">
        <is>
          <t>FE-PERF</t>
        </is>
      </c>
      <c r="C144" s="14" t="inlineStr">
        <is>
          <t>Performance fallback (EP-01 · task 0.38, 0.39, 1.15)</t>
        </is>
      </c>
      <c r="D144" s="14" t="inlineStr">
        <is>
          <t>P1</t>
        </is>
      </c>
      <c r="E144" s="14" t="inlineStr">
        <is>
          <t>L2 FPS &lt; 21</t>
        </is>
      </c>
      <c r="F144" s="14" t="inlineStr">
        <is>
          <t>ต่อจาก L1</t>
        </is>
      </c>
      <c r="G144" s="14" t="inlineStr">
        <is>
          <t>ปิด nature / weather + toast "Visual effects reduced"</t>
        </is>
      </c>
      <c r="H144" s="14" t="inlineStr">
        <is>
          <t>§15.5</t>
        </is>
      </c>
      <c r="I144" s="15" t="inlineStr">
        <is>
          <t>ยังไม่ทดสอบ</t>
        </is>
      </c>
      <c r="J144" s="14" t="inlineStr"/>
      <c r="K144" s="15" t="inlineStr"/>
      <c r="L144" s="16" t="inlineStr"/>
      <c r="M144" s="15" t="inlineStr"/>
      <c r="N144" s="15" t="inlineStr"/>
      <c r="O144" s="15" t="inlineStr"/>
    </row>
    <row r="145">
      <c r="A145" s="14" t="inlineStr">
        <is>
          <t>FE-PERF-03</t>
        </is>
      </c>
      <c r="B145" s="14" t="inlineStr">
        <is>
          <t>FE-PERF</t>
        </is>
      </c>
      <c r="C145" s="14" t="inlineStr">
        <is>
          <t>Performance fallback (EP-01 · task 0.38, 0.39, 1.15)</t>
        </is>
      </c>
      <c r="D145" s="14" t="inlineStr">
        <is>
          <t>P1</t>
        </is>
      </c>
      <c r="E145" s="14" t="inlineStr">
        <is>
          <t>L3 FPS &lt; 15</t>
        </is>
      </c>
      <c r="F145" s="14" t="inlineStr">
        <is>
          <t>ต่อจาก L2</t>
        </is>
      </c>
      <c r="G145" s="14" t="inlineStr">
        <is>
          <t>avatar 12 → 6 fps + ปิด Time of Day + toast "Animations reduced"</t>
        </is>
      </c>
      <c r="H145" s="14" t="inlineStr">
        <is>
          <t>§15.5</t>
        </is>
      </c>
      <c r="I145" s="15" t="inlineStr">
        <is>
          <t>ยังไม่ทดสอบ</t>
        </is>
      </c>
      <c r="J145" s="14" t="inlineStr"/>
      <c r="K145" s="15" t="inlineStr"/>
      <c r="L145" s="16" t="inlineStr"/>
      <c r="M145" s="15" t="inlineStr"/>
      <c r="N145" s="15" t="inlineStr"/>
      <c r="O145" s="15" t="inlineStr"/>
    </row>
    <row r="146">
      <c r="A146" s="14" t="inlineStr">
        <is>
          <t>FE-PERF-04</t>
        </is>
      </c>
      <c r="B146" s="14" t="inlineStr">
        <is>
          <t>FE-PERF</t>
        </is>
      </c>
      <c r="C146" s="14" t="inlineStr">
        <is>
          <t>Performance fallback (EP-01 · task 0.38, 0.39, 1.15)</t>
        </is>
      </c>
      <c r="D146" s="14" t="inlineStr">
        <is>
          <t>P1</t>
        </is>
      </c>
      <c r="E146" s="14" t="inlineStr">
        <is>
          <t>L4 simple mode</t>
        </is>
      </c>
      <c r="F146" s="14" t="inlineStr">
        <is>
          <t>ยัง &lt; 15 หลัง L3 (เกณฑ์ ⏳ OQ 29)</t>
        </is>
      </c>
      <c r="G146" s="14" t="inlineStr">
        <is>
          <t>minimap ขยายเต็มจอ + avatar วงกลม / cluster + toast "Simplified map"</t>
        </is>
      </c>
      <c r="H146" s="14" t="inlineStr">
        <is>
          <t>§15.5</t>
        </is>
      </c>
      <c r="I146" s="15" t="inlineStr">
        <is>
          <t>ยังไม่ทดสอบ</t>
        </is>
      </c>
      <c r="J146" s="14" t="inlineStr"/>
      <c r="K146" s="15" t="inlineStr"/>
      <c r="L146" s="16" t="inlineStr"/>
      <c r="M146" s="15" t="inlineStr"/>
      <c r="N146" s="15" t="inlineStr"/>
      <c r="O146" s="15" t="inlineStr"/>
    </row>
    <row r="147">
      <c r="A147" s="14" t="inlineStr">
        <is>
          <t>FE-PERF-05</t>
        </is>
      </c>
      <c r="B147" s="14" t="inlineStr">
        <is>
          <t>FE-PERF</t>
        </is>
      </c>
      <c r="C147" s="14" t="inlineStr">
        <is>
          <t>Performance fallback (EP-01 · task 0.38, 0.39, 1.15)</t>
        </is>
      </c>
      <c r="D147" s="14" t="inlineStr">
        <is>
          <t>P1</t>
        </is>
      </c>
      <c r="E147" s="14" t="inlineStr">
        <is>
          <t>ลดทีละขั้นและกลับเอง</t>
        </is>
      </c>
      <c r="F147" s="14" t="inlineStr">
        <is>
          <t>FPS ดีขึ้น &gt; 45 นาน 30 วิ (⏳)</t>
        </is>
      </c>
      <c r="G147" s="14" t="inlineStr">
        <is>
          <t>กลับทีละขั้น + toast ขาขึ้น · toast ทุกอันปิดเอง 10 วิ</t>
        </is>
      </c>
      <c r="H147" s="14" t="inlineStr">
        <is>
          <t>§15.6</t>
        </is>
      </c>
      <c r="I147" s="15" t="inlineStr">
        <is>
          <t>ยังไม่ทดสอบ</t>
        </is>
      </c>
      <c r="J147" s="14" t="inlineStr"/>
      <c r="K147" s="15" t="inlineStr"/>
      <c r="L147" s="16" t="inlineStr"/>
      <c r="M147" s="15" t="inlineStr"/>
      <c r="N147" s="15" t="inlineStr"/>
      <c r="O147" s="15" t="inlineStr"/>
    </row>
    <row r="148">
      <c r="A148" s="14" t="inlineStr">
        <is>
          <t>FE-PERF-06</t>
        </is>
      </c>
      <c r="B148" s="14" t="inlineStr">
        <is>
          <t>FE-PERF</t>
        </is>
      </c>
      <c r="C148" s="14" t="inlineStr">
        <is>
          <t>Performance fallback (EP-01 · task 0.38, 0.39, 1.15)</t>
        </is>
      </c>
      <c r="D148" s="14" t="inlineStr">
        <is>
          <t>P1</t>
        </is>
      </c>
      <c r="E148" s="14" t="inlineStr">
        <is>
          <t>เฉพาะมือถือ</t>
        </is>
      </c>
      <c r="F148" s="14" t="inlineStr">
        <is>
          <t>ทำแบบเดียวกันบน desktop</t>
        </is>
      </c>
      <c r="G148" s="14" t="inlineStr">
        <is>
          <t>ไม่มี ladder นี้ (มีแค่ fallback เดิม)</t>
        </is>
      </c>
      <c r="H148" s="14" t="inlineStr">
        <is>
          <t>§15.5 ข้อ 8</t>
        </is>
      </c>
      <c r="I148" s="15" t="inlineStr">
        <is>
          <t>ยังไม่ทดสอบ</t>
        </is>
      </c>
      <c r="J148" s="14" t="inlineStr"/>
      <c r="K148" s="15" t="inlineStr"/>
      <c r="L148" s="16" t="inlineStr"/>
      <c r="M148" s="15" t="inlineStr"/>
      <c r="N148" s="15" t="inlineStr"/>
      <c r="O148" s="15" t="inlineStr"/>
    </row>
    <row r="149">
      <c r="A149" s="14" t="inlineStr">
        <is>
          <t>FE-PERF-07</t>
        </is>
      </c>
      <c r="B149" s="14" t="inlineStr">
        <is>
          <t>FE-PERF</t>
        </is>
      </c>
      <c r="C149" s="14" t="inlineStr">
        <is>
          <t>Performance fallback (EP-01 · task 0.38, 0.39, 1.15)</t>
        </is>
      </c>
      <c r="D149" s="14" t="inlineStr">
        <is>
          <t>P2</t>
        </is>
      </c>
      <c r="E149" s="14" t="inlineStr">
        <is>
          <t>ไม่มีเมนู Performance</t>
        </is>
      </c>
      <c r="F149" s="14" t="inlineStr">
        <is>
          <t>Profile → Setting</t>
        </is>
      </c>
      <c r="G149" s="14" t="inlineStr">
        <is>
          <t>ไม่มีแถว Performance · ระบบลด/คืนเอฟเฟกต์เองตาม FPS อย่างเดียว</t>
        </is>
      </c>
      <c r="H149" s="14" t="inlineStr">
        <is>
          <t>§19.8</t>
        </is>
      </c>
      <c r="I149" s="15" t="inlineStr">
        <is>
          <t>ยังไม่ทดสอบ</t>
        </is>
      </c>
      <c r="J149" s="14" t="inlineStr"/>
      <c r="K149" s="15" t="inlineStr"/>
      <c r="L149" s="16" t="inlineStr"/>
      <c r="M149" s="15" t="inlineStr"/>
      <c r="N149" s="15" t="inlineStr"/>
      <c r="O149" s="15" t="inlineStr"/>
    </row>
    <row r="150">
      <c r="A150" s="14" t="inlineStr">
        <is>
          <t>FE-PERF-08</t>
        </is>
      </c>
      <c r="B150" s="14" t="inlineStr">
        <is>
          <t>FE-PERF</t>
        </is>
      </c>
      <c r="C150" s="14" t="inlineStr">
        <is>
          <t>Performance fallback (EP-01 · task 0.38, 0.39, 1.15)</t>
        </is>
      </c>
      <c r="D150" s="14" t="inlineStr">
        <is>
          <t>P2</t>
        </is>
      </c>
      <c r="E150" s="14" t="inlineStr">
        <is>
          <t>RAM ต่ำ ( OQ 30)</t>
        </is>
      </c>
      <c r="F150" s="14" t="inlineStr">
        <is>
          <t>เปิดหลายแอปจน RAM เหลือน้อย</t>
        </is>
      </c>
      <c r="G150" s="14" t="inlineStr">
        <is>
          <t>toast "Low memory"</t>
        </is>
      </c>
      <c r="H150" s="14" t="inlineStr">
        <is>
          <t>task 1.15</t>
        </is>
      </c>
      <c r="I150" s="15" t="inlineStr">
        <is>
          <t>Blocked</t>
        </is>
      </c>
      <c r="J150" s="14" t="inlineStr">
        <is>
          <t>รอมติ</t>
        </is>
      </c>
      <c r="K150" s="15" t="inlineStr"/>
      <c r="L150" s="16" t="inlineStr"/>
      <c r="M150" s="15" t="inlineStr"/>
      <c r="N150" s="15" t="inlineStr"/>
      <c r="O150" s="15" t="inlineStr"/>
    </row>
    <row r="151">
      <c r="A151" s="14" t="inlineStr">
        <is>
          <t>FE-PERF-09</t>
        </is>
      </c>
      <c r="B151" s="14" t="inlineStr">
        <is>
          <t>FE-PERF</t>
        </is>
      </c>
      <c r="C151" s="14" t="inlineStr">
        <is>
          <t>Performance fallback (EP-01 · task 0.38, 0.39, 1.15)</t>
        </is>
      </c>
      <c r="D151" s="14" t="inlineStr">
        <is>
          <t>P1</t>
        </is>
      </c>
      <c r="E151" s="14" t="inlineStr">
        <is>
          <t>วัดผลจริง (rule 18)</t>
        </is>
      </c>
      <c r="F151" s="14" t="inlineStr">
        <is>
          <t>iPhone 12 + Android กลาง แมพ 20 คน</t>
        </is>
      </c>
      <c r="G151" s="14" t="inlineStr">
        <is>
          <t>บันทึก FPS ≥ 30 และ memory ≤ 200 MB ก่อน/หลัง ลงใน progress</t>
        </is>
      </c>
      <c r="H151" s="14" t="inlineStr">
        <is>
          <t>task 0.9</t>
        </is>
      </c>
      <c r="I151" s="15" t="inlineStr">
        <is>
          <t>ยังไม่ทดสอบ</t>
        </is>
      </c>
      <c r="J151" s="14" t="inlineStr"/>
      <c r="K151" s="15" t="inlineStr"/>
      <c r="L151" s="16" t="inlineStr"/>
      <c r="M151" s="15" t="inlineStr"/>
      <c r="N151" s="15" t="inlineStr"/>
      <c r="O151" s="15" t="inlineStr"/>
    </row>
    <row r="152">
      <c r="A152" s="14" t="inlineStr">
        <is>
          <t>FE-SPOT-01</t>
        </is>
      </c>
      <c r="B152" s="14" t="inlineStr">
        <is>
          <t>FE-SPOT</t>
        </is>
      </c>
      <c r="C152" s="14" t="inlineStr">
        <is>
          <t>Spotlight (HP-11 · task 0.47–0.51)</t>
        </is>
      </c>
      <c r="D152" s="14" t="inlineStr">
        <is>
          <t>P1</t>
        </is>
      </c>
      <c r="E152" s="14" t="inlineStr">
        <is>
          <t>เริ่มจาก Lite</t>
        </is>
      </c>
      <c r="F152" s="14" t="inlineStr">
        <is>
          <t>Lite Home → ปุ่ม megaphone</t>
        </is>
      </c>
      <c r="G152" s="14" t="inlineStr">
        <is>
          <t>sheet "Start Spotlight" (Cancel / Start spotlight) · Start → นับถอยหลังบน Lite Home</t>
        </is>
      </c>
      <c r="H152" s="14" t="inlineStr">
        <is>
          <t>§18.9</t>
        </is>
      </c>
      <c r="I152" s="15" t="inlineStr">
        <is>
          <t>ยังไม่ทดสอบ</t>
        </is>
      </c>
      <c r="J152" s="14" t="inlineStr"/>
      <c r="K152" s="15" t="inlineStr"/>
      <c r="L152" s="16" t="inlineStr"/>
      <c r="M152" s="15" t="inlineStr"/>
      <c r="N152" s="15" t="inlineStr"/>
      <c r="O152" s="15" t="inlineStr"/>
    </row>
    <row r="153">
      <c r="A153" s="14" t="inlineStr">
        <is>
          <t>FE-SPOT-02</t>
        </is>
      </c>
      <c r="B153" s="14" t="inlineStr">
        <is>
          <t>FE-SPOT</t>
        </is>
      </c>
      <c r="C153" s="14" t="inlineStr">
        <is>
          <t>Spotlight (HP-11 · task 0.47–0.51)</t>
        </is>
      </c>
      <c r="D153" s="14" t="inlineStr">
        <is>
          <t>P1</t>
        </is>
      </c>
      <c r="E153" s="14" t="inlineStr">
        <is>
          <t>นับถอยหลัง</t>
        </is>
      </c>
      <c r="F153" s="14" t="inlineStr">
        <is>
          <t>กด Start spotlight แล้วกด Stop ระหว่างนับ</t>
        </is>
      </c>
      <c r="G153" s="14" t="inlineStr">
        <is>
          <t>toast "Spotlight will be started within N seconds" 5→1 ("1 second") · Stop = ยกเลิก ไม่ออกอากาศ</t>
        </is>
      </c>
      <c r="H153" s="14" t="inlineStr">
        <is>
          <t>§18.9</t>
        </is>
      </c>
      <c r="I153" s="15" t="inlineStr">
        <is>
          <t>ยังไม่ทดสอบ</t>
        </is>
      </c>
      <c r="J153" s="14" t="inlineStr"/>
      <c r="K153" s="15" t="inlineStr"/>
      <c r="L153" s="16" t="inlineStr"/>
      <c r="M153" s="15" t="inlineStr"/>
      <c r="N153" s="15" t="inlineStr"/>
      <c r="O153" s="15" t="inlineStr"/>
    </row>
    <row r="154">
      <c r="A154" s="14" t="inlineStr">
        <is>
          <t>FE-SPOT-03</t>
        </is>
      </c>
      <c r="B154" s="14" t="inlineStr">
        <is>
          <t>FE-SPOT</t>
        </is>
      </c>
      <c r="C154" s="14" t="inlineStr">
        <is>
          <t>Spotlight (HP-11 · task 0.47–0.51)</t>
        </is>
      </c>
      <c r="D154" s="14" t="inlineStr">
        <is>
          <t>P1</t>
        </is>
      </c>
      <c r="E154" s="14" t="inlineStr">
        <is>
          <t>เริ่มออกอากาศ</t>
        </is>
      </c>
      <c r="F154" s="14" t="inlineStr">
        <is>
          <t>รอนับครบ</t>
        </is>
      </c>
      <c r="G154" s="14" t="inlineStr">
        <is>
          <t>เปิดหน้า Spotlight ที่ live แล้ว + toast "Spotlight started now" 3 วิ · ไม่มีปุ่ม Play / Stop ในแถบ</t>
        </is>
      </c>
      <c r="H154" s="14" t="inlineStr">
        <is>
          <t>§18.9</t>
        </is>
      </c>
      <c r="I154" s="15" t="inlineStr">
        <is>
          <t>ยังไม่ทดสอบ</t>
        </is>
      </c>
      <c r="J154" s="14" t="inlineStr"/>
      <c r="K154" s="15" t="inlineStr"/>
      <c r="L154" s="16" t="inlineStr"/>
      <c r="M154" s="15" t="inlineStr"/>
      <c r="N154" s="15" t="inlineStr"/>
      <c r="O154" s="15" t="inlineStr"/>
    </row>
    <row r="155">
      <c r="A155" s="14" t="inlineStr">
        <is>
          <t>FE-SPOT-04</t>
        </is>
      </c>
      <c r="B155" s="14" t="inlineStr">
        <is>
          <t>FE-SPOT</t>
        </is>
      </c>
      <c r="C155" s="14" t="inlineStr">
        <is>
          <t>Spotlight (HP-11 · task 0.47–0.51)</t>
        </is>
      </c>
      <c r="D155" s="14" t="inlineStr">
        <is>
          <t>P1</t>
        </is>
      </c>
      <c r="E155" s="14" t="inlineStr">
        <is>
          <t>เริ่มจาก Spatial ด้วย megaphone</t>
        </is>
      </c>
      <c r="F155" s="14" t="inlineStr">
        <is>
          <t>กด megaphone ขวาบน</t>
        </is>
      </c>
      <c r="G155" s="14" t="inlineStr">
        <is>
          <t>avatar เดินไปจุด Spotlight เอง → หน้า Spotlight → นับถอยหลังบนหน้านั้น</t>
        </is>
      </c>
      <c r="H155" s="14" t="inlineStr">
        <is>
          <t>§18.9 ข้อ 4</t>
        </is>
      </c>
      <c r="I155" s="15" t="inlineStr">
        <is>
          <t>ยังไม่ทดสอบ</t>
        </is>
      </c>
      <c r="J155" s="14" t="inlineStr"/>
      <c r="K155" s="15" t="inlineStr"/>
      <c r="L155" s="16" t="inlineStr"/>
      <c r="M155" s="15" t="inlineStr"/>
      <c r="N155" s="15" t="inlineStr"/>
      <c r="O155" s="15" t="inlineStr"/>
    </row>
    <row r="156">
      <c r="A156" s="14" t="inlineStr">
        <is>
          <t>FE-SPOT-05</t>
        </is>
      </c>
      <c r="B156" s="14" t="inlineStr">
        <is>
          <t>FE-SPOT</t>
        </is>
      </c>
      <c r="C156" s="14" t="inlineStr">
        <is>
          <t>Spotlight (HP-11 · task 0.47–0.51)</t>
        </is>
      </c>
      <c r="D156" s="14" t="inlineStr">
        <is>
          <t>P1</t>
        </is>
      </c>
      <c r="E156" s="14" t="inlineStr">
        <is>
          <t>เดินเข้าจุดเอง</t>
        </is>
      </c>
      <c r="F156" s="14" t="inlineStr">
        <is>
          <t>เดินเข้าจุด Spotlight บนแมพ</t>
        </is>
      </c>
      <c r="G156" s="14" t="inlineStr">
        <is>
          <t>เปิดหน้า Spotlight แล้วนับถอยหลังเหมือน FE-SPOT-04</t>
        </is>
      </c>
      <c r="H156" s="14" t="inlineStr">
        <is>
          <t>§18.9 ข้อ 4</t>
        </is>
      </c>
      <c r="I156" s="15" t="inlineStr">
        <is>
          <t>ยังไม่ทดสอบ</t>
        </is>
      </c>
      <c r="J156" s="14" t="inlineStr"/>
      <c r="K156" s="15" t="inlineStr"/>
      <c r="L156" s="16" t="inlineStr"/>
      <c r="M156" s="15" t="inlineStr"/>
      <c r="N156" s="15" t="inlineStr"/>
      <c r="O156" s="15" t="inlineStr"/>
    </row>
    <row r="157">
      <c r="A157" s="14" t="inlineStr">
        <is>
          <t>FE-SPOT-06</t>
        </is>
      </c>
      <c r="B157" s="14" t="inlineStr">
        <is>
          <t>FE-SPOT</t>
        </is>
      </c>
      <c r="C157" s="14" t="inlineStr">
        <is>
          <t>Spotlight (HP-11 · task 0.47–0.51)</t>
        </is>
      </c>
      <c r="D157" s="14" t="inlineStr">
        <is>
          <t>P1</t>
        </is>
      </c>
      <c r="E157" s="14" t="inlineStr">
        <is>
          <t>ออก</t>
        </is>
      </c>
      <c r="F157" s="14" t="inlineStr">
        <is>
          <t>กด Leave ตอน live → Leave</t>
        </is>
      </c>
      <c r="G157" s="14" t="inlineStr">
        <is>
          <t>sheet "Leave Spotlight?" (Cancel / Leave) · กลับหน้าเดิม + toast "Broadcast ended" · คนดูได้ toast เดียวกันและหน้าคนดูปิด</t>
        </is>
      </c>
      <c r="H157" s="14" t="inlineStr">
        <is>
          <t>§18.9</t>
        </is>
      </c>
      <c r="I157" s="15" t="inlineStr">
        <is>
          <t>ยังไม่ทดสอบ</t>
        </is>
      </c>
      <c r="J157" s="14" t="inlineStr"/>
      <c r="K157" s="15" t="inlineStr"/>
      <c r="L157" s="16" t="inlineStr"/>
      <c r="M157" s="15" t="inlineStr"/>
      <c r="N157" s="15" t="inlineStr"/>
      <c r="O157" s="15" t="inlineStr"/>
    </row>
    <row r="158">
      <c r="A158" s="14" t="inlineStr">
        <is>
          <t>FE-SPOT-07</t>
        </is>
      </c>
      <c r="B158" s="14" t="inlineStr">
        <is>
          <t>FE-SPOT</t>
        </is>
      </c>
      <c r="C158" s="14" t="inlineStr">
        <is>
          <t>Spotlight (HP-11 · task 0.47–0.51)</t>
        </is>
      </c>
      <c r="D158" s="14" t="inlineStr">
        <is>
          <t>P1</t>
        </is>
      </c>
      <c r="E158" s="14" t="inlineStr">
        <is>
          <t>ย่อ</t>
        </is>
      </c>
      <c r="F158" s="14" t="inlineStr">
        <is>
          <t>กดลูกศรลงตอน live</t>
        </is>
      </c>
      <c r="G158" s="14" t="inlineStr">
        <is>
          <t>ย่อเป็น PIP · ยังออกอากาศต่อ</t>
        </is>
      </c>
      <c r="H158" s="14" t="inlineStr">
        <is>
          <t>§18.7 ข้อ 6</t>
        </is>
      </c>
      <c r="I158" s="15" t="inlineStr">
        <is>
          <t>ยังไม่ทดสอบ</t>
        </is>
      </c>
      <c r="J158" s="14" t="inlineStr"/>
      <c r="K158" s="15" t="inlineStr"/>
      <c r="L158" s="16" t="inlineStr"/>
      <c r="M158" s="15" t="inlineStr"/>
      <c r="N158" s="15" t="inlineStr"/>
      <c r="O158" s="15" t="inlineStr"/>
    </row>
    <row r="159">
      <c r="A159" s="14" t="inlineStr">
        <is>
          <t>FE-SPOT-08</t>
        </is>
      </c>
      <c r="B159" s="14" t="inlineStr">
        <is>
          <t>FE-SPOT</t>
        </is>
      </c>
      <c r="C159" s="14" t="inlineStr">
        <is>
          <t>Spotlight (HP-11 · task 0.47–0.51)</t>
        </is>
      </c>
      <c r="D159" s="14" t="inlineStr">
        <is>
          <t>P1</t>
        </is>
      </c>
      <c r="E159" s="14" t="inlineStr">
        <is>
          <t>คนดูนอก meeting</t>
        </is>
      </c>
      <c r="F159" s="14" t="inlineStr">
        <is>
          <t>อีกคนเริ่ม spotlight · ลองกด ✓ / กด × / ปล่อยไว้</t>
        </is>
      </c>
      <c r="G159" s="14" t="inlineStr">
        <is>
          <t>toast "&lt;ชื่อ&gt; · Spotlight is starting" มี × / ✓ และแถบ 10 วิ · ✓ เปิดหน้าคนดู · × หรือครบ 10 วิ toast หาย · ยังเข้าดูทีหลังได้จากแถว "Spotlight · Live" บน Lite Home</t>
        </is>
      </c>
      <c r="H159" s="14" t="inlineStr">
        <is>
          <t>§18.9 ข้อ 2</t>
        </is>
      </c>
      <c r="I159" s="15" t="inlineStr">
        <is>
          <t>Blocked</t>
        </is>
      </c>
      <c r="J159" s="14" t="inlineStr">
        <is>
          <t>รอ UI จาก design</t>
        </is>
      </c>
      <c r="K159" s="15" t="inlineStr"/>
      <c r="L159" s="16" t="inlineStr"/>
      <c r="M159" s="15" t="inlineStr"/>
      <c r="N159" s="15" t="inlineStr"/>
      <c r="O159" s="15" t="inlineStr"/>
    </row>
    <row r="160">
      <c r="A160" s="14" t="inlineStr">
        <is>
          <t>FE-SPOT-09</t>
        </is>
      </c>
      <c r="B160" s="14" t="inlineStr">
        <is>
          <t>FE-SPOT</t>
        </is>
      </c>
      <c r="C160" s="14" t="inlineStr">
        <is>
          <t>Spotlight (HP-11 · task 0.47–0.51)</t>
        </is>
      </c>
      <c r="D160" s="14" t="inlineStr">
        <is>
          <t>P1</t>
        </is>
      </c>
      <c r="E160" s="14" t="inlineStr">
        <is>
          <t>คนดูใน meeting</t>
        </is>
      </c>
      <c r="F160" s="14" t="inlineStr">
        <is>
          <t>อยู่ใน meeting 2 คน คนหนึ่งกด ✓ · กด Undo · กดลูกศรลง</t>
        </is>
      </c>
      <c r="G160" s="14" t="inlineStr">
        <is>
          <t>✓ คนเดียว ทั้งห้องเข้าดู + แถบรายชื่อคนในห้อง · Undo ทั้งห้องกลับหน้า meeting · ลูกศรลง ย่อเฉพาะเครื่องเรา เห็น PIP Spotlight บนหน้า meeting · แตะ PIP กลับ Spotlight</t>
        </is>
      </c>
      <c r="H160" s="14" t="inlineStr">
        <is>
          <t>§18.9 ข้อ 3</t>
        </is>
      </c>
      <c r="I160" s="15" t="inlineStr">
        <is>
          <t>ยังไม่ทดสอบ</t>
        </is>
      </c>
      <c r="J160" s="14" t="inlineStr"/>
      <c r="K160" s="15" t="inlineStr"/>
      <c r="L160" s="16" t="inlineStr"/>
      <c r="M160" s="15" t="inlineStr"/>
      <c r="N160" s="15" t="inlineStr"/>
      <c r="O160" s="15" t="inlineStr"/>
    </row>
    <row r="161">
      <c r="A161" s="14" t="inlineStr">
        <is>
          <t>FE-SPOT-10</t>
        </is>
      </c>
      <c r="B161" s="14" t="inlineStr">
        <is>
          <t>FE-SPOT</t>
        </is>
      </c>
      <c r="C161" s="14" t="inlineStr">
        <is>
          <t>Spotlight (HP-11 · task 0.47–0.51)</t>
        </is>
      </c>
      <c r="D161" s="14" t="inlineStr">
        <is>
          <t>P1</t>
        </is>
      </c>
      <c r="E161" s="14" t="inlineStr">
        <is>
          <t>ป้าย Live + ชิปตัวนับ</t>
        </is>
      </c>
      <c r="F161" s="14" t="inlineStr">
        <is>
          <t>ดู header ตอน live 2 คนบนเวที 24 คนดู · แตะชิป</t>
        </is>
      </c>
      <c r="G161" s="14" t="inlineStr">
        <is>
          <t>ป้าย "Live" · ชิป Users "2 | 24" · แตะแล้วเปิด sheet แท็บ On stage / Viewers · Viewers ค้นหาได้</t>
        </is>
      </c>
      <c r="H161" s="14" t="inlineStr">
        <is>
          <t>§18.9 ข้อ 1, §19.5</t>
        </is>
      </c>
      <c r="I161" s="15" t="inlineStr">
        <is>
          <t>Blocked</t>
        </is>
      </c>
      <c r="J161" s="14" t="inlineStr">
        <is>
          <t>รอ UI จาก design</t>
        </is>
      </c>
      <c r="K161" s="15" t="inlineStr"/>
      <c r="L161" s="16" t="inlineStr"/>
      <c r="M161" s="15" t="inlineStr"/>
      <c r="N161" s="15" t="inlineStr"/>
      <c r="O161" s="15" t="inlineStr"/>
    </row>
    <row r="162">
      <c r="A162" s="14" t="inlineStr">
        <is>
          <t>FE-SPOT-11</t>
        </is>
      </c>
      <c r="B162" s="14" t="inlineStr">
        <is>
          <t>FE-SPOT</t>
        </is>
      </c>
      <c r="C162" s="14" t="inlineStr">
        <is>
          <t>Spotlight (HP-11 · task 0.47–0.51)</t>
        </is>
      </c>
      <c r="D162" s="14" t="inlineStr">
        <is>
          <t>P2</t>
        </is>
      </c>
      <c r="E162" s="14" t="inlineStr">
        <is>
          <t>หลายคนพูด</t>
        </is>
      </c>
      <c r="F162" s="14" t="inlineStr">
        <is>
          <t>2 คนขึ้นพูดพร้อมกัน</t>
        </is>
      </c>
      <c r="G162" s="14" t="inlineStr">
        <is>
          <t>tile หลายอันแบบ meeting ไม่มีแท็บ</t>
        </is>
      </c>
      <c r="H162" s="14" t="inlineStr">
        <is>
          <t>§18.7 ข้อ 11</t>
        </is>
      </c>
      <c r="I162" s="15" t="inlineStr">
        <is>
          <t>ยังไม่ทดสอบ</t>
        </is>
      </c>
      <c r="J162" s="14" t="inlineStr"/>
      <c r="K162" s="15" t="inlineStr"/>
      <c r="L162" s="16" t="inlineStr"/>
      <c r="M162" s="15" t="inlineStr"/>
      <c r="N162" s="15" t="inlineStr"/>
      <c r="O162" s="15" t="inlineStr"/>
    </row>
    <row r="163">
      <c r="A163" s="14" t="inlineStr">
        <is>
          <t>FE-SPOT-12</t>
        </is>
      </c>
      <c r="B163" s="14" t="inlineStr">
        <is>
          <t>FE-SPOT</t>
        </is>
      </c>
      <c r="C163" s="14" t="inlineStr">
        <is>
          <t>Spotlight (HP-11 · task 0.47–0.51)</t>
        </is>
      </c>
      <c r="D163" s="14" t="inlineStr">
        <is>
          <t>P1</t>
        </is>
      </c>
      <c r="E163" s="14" t="inlineStr">
        <is>
          <t>สถานะห้ามเริ่ม</t>
        </is>
      </c>
      <c r="F163" s="14" t="inlineStr">
        <is>
          <t>ตั้ง Busy / Away / Do not disturb</t>
        </is>
      </c>
      <c r="G163" s="14" t="inlineStr">
        <is>
          <t>ปุ่ม Start spotlight กดไม่ได้</t>
        </is>
      </c>
      <c r="H163" s="14" t="inlineStr">
        <is>
          <t>§18.7 ข้อ 13</t>
        </is>
      </c>
      <c r="I163" s="15" t="inlineStr">
        <is>
          <t>ยังไม่ทดสอบ</t>
        </is>
      </c>
      <c r="J163" s="14" t="inlineStr"/>
      <c r="K163" s="15" t="inlineStr"/>
      <c r="L163" s="16" t="inlineStr"/>
      <c r="M163" s="15" t="inlineStr"/>
      <c r="N163" s="15" t="inlineStr"/>
      <c r="O163" s="15" t="inlineStr"/>
    </row>
    <row r="164">
      <c r="A164" s="14" t="inlineStr">
        <is>
          <t>FE-SPOT-13</t>
        </is>
      </c>
      <c r="B164" s="14" t="inlineStr">
        <is>
          <t>FE-SPOT</t>
        </is>
      </c>
      <c r="C164" s="14" t="inlineStr">
        <is>
          <t>Spotlight (HP-11 · task 0.47–0.51)</t>
        </is>
      </c>
      <c r="D164" s="14" t="inlineStr">
        <is>
          <t>P2</t>
        </is>
      </c>
      <c r="E164" s="14" t="inlineStr">
        <is>
          <t>แชท Spotlight</t>
        </is>
      </c>
      <c r="F164" s="14" t="inlineStr">
        <is>
          <t>กดแชทในหน้า Spotlight</t>
        </is>
      </c>
      <c r="G164" s="14" t="inlineStr">
        <is>
          <t>หน้าเต็มจอ · ถ้าอยู่ใน meeting ด้วยมีแท็บ Spotlight / Meeting</t>
        </is>
      </c>
      <c r="H164" s="14" t="inlineStr">
        <is>
          <t>§18.7 ข้อ 12</t>
        </is>
      </c>
      <c r="I164" s="15" t="inlineStr">
        <is>
          <t>ยังไม่ทดสอบ</t>
        </is>
      </c>
      <c r="J164" s="14" t="inlineStr"/>
      <c r="K164" s="15" t="inlineStr"/>
      <c r="L164" s="16" t="inlineStr"/>
      <c r="M164" s="15" t="inlineStr"/>
      <c r="N164" s="15" t="inlineStr"/>
      <c r="O164" s="15" t="inlineStr"/>
    </row>
    <row r="165">
      <c r="A165" s="14" t="inlineStr">
        <is>
          <t>FE-SPOT-14</t>
        </is>
      </c>
      <c r="B165" s="14" t="inlineStr">
        <is>
          <t>FE-SPOT</t>
        </is>
      </c>
      <c r="C165" s="14" t="inlineStr">
        <is>
          <t>Spotlight (HP-11 · task 0.47–0.51)</t>
        </is>
      </c>
      <c r="D165" s="14" t="inlineStr">
        <is>
          <t>P1</t>
        </is>
      </c>
      <c r="E165" s="14" t="inlineStr">
        <is>
          <t>แนวนอน</t>
        </is>
      </c>
      <c r="F165" s="14" t="inlineStr">
        <is>
          <t>หน้า Spotlight ใน Spatial</t>
        </is>
      </c>
      <c r="G165" s="14" t="inlineStr">
        <is>
          <t>layout แบบหน้า Meeting แนวนอน · ⋮ เป็น modal กลางจอ ยืนยันภาพ</t>
        </is>
      </c>
      <c r="H165" s="14" t="inlineStr">
        <is>
          <t>§18.6</t>
        </is>
      </c>
      <c r="I165" s="15" t="inlineStr">
        <is>
          <t>ยังไม่ทดสอบ</t>
        </is>
      </c>
      <c r="J165" s="14" t="inlineStr"/>
      <c r="K165" s="15" t="inlineStr"/>
      <c r="L165" s="16" t="inlineStr"/>
      <c r="M165" s="15" t="inlineStr"/>
      <c r="N165" s="15" t="inlineStr"/>
      <c r="O165" s="15" t="inlineStr"/>
    </row>
    <row r="166">
      <c r="A166" s="14" t="inlineStr">
        <is>
          <t>FE-SPOT-15</t>
        </is>
      </c>
      <c r="B166" s="14" t="inlineStr">
        <is>
          <t>FE-SPOT</t>
        </is>
      </c>
      <c r="C166" s="14" t="inlineStr">
        <is>
          <t>Spotlight (HP-11 · task 0.47–0.51)</t>
        </is>
      </c>
      <c r="D166" s="14" t="inlineStr">
        <is>
          <t>P1</t>
        </is>
      </c>
      <c r="E166" s="14" t="inlineStr">
        <is>
          <t>ปุ่มของคนดู</t>
        </is>
      </c>
      <c r="F166" s="14" t="inlineStr">
        <is>
          <t>เปิดหน้าคนดูตอนไม่อยู่ และอยู่ใน meeting</t>
        </is>
      </c>
      <c r="G166" s="14" t="inlineStr">
        <is>
          <t>ไม่อยู่ใน meeting: Chat · Speaker · Leave · อยู่ใน meeting: Undo · Chat · Speaker · Leave · ไม่มี emoji และ raise hand</t>
        </is>
      </c>
      <c r="H166" s="14" t="inlineStr">
        <is>
          <t>§18.9</t>
        </is>
      </c>
      <c r="I166" s="15" t="inlineStr">
        <is>
          <t>ยังไม่ทดสอบ</t>
        </is>
      </c>
      <c r="J166" s="14" t="inlineStr"/>
      <c r="K166" s="15" t="inlineStr"/>
      <c r="L166" s="16" t="inlineStr"/>
      <c r="M166" s="15" t="inlineStr"/>
      <c r="N166" s="15" t="inlineStr"/>
      <c r="O166" s="15" t="inlineStr"/>
    </row>
    <row r="167">
      <c r="A167" s="14" t="inlineStr">
        <is>
          <t>FE-SPOT-16</t>
        </is>
      </c>
      <c r="B167" s="14" t="inlineStr">
        <is>
          <t>FE-SPOT</t>
        </is>
      </c>
      <c r="C167" s="14" t="inlineStr">
        <is>
          <t>Spotlight (HP-11 · task 0.47–0.51)</t>
        </is>
      </c>
      <c r="D167" s="14" t="inlineStr">
        <is>
          <t>P2</t>
        </is>
      </c>
      <c r="E167" s="14" t="inlineStr">
        <is>
          <t>แถวในรายชื่อ Spotlight</t>
        </is>
      </c>
      <c r="F167" s="14" t="inlineStr">
        <is>
          <t>เปิดรายชื่อด้วยบัญชีคนดู แล้วด้วยบัญชีคนบนเวที</t>
        </is>
      </c>
      <c r="G167" s="14" t="inlineStr">
        <is>
          <t>ไม่มี Requesting · แถวคนดูไม่มีอะไรท้ายแถว · ไอคอนไมค์ของคนบนเวทีเห็นเฉพาะตอนเราอยู่บนเวที และกดไม่ได้</t>
        </is>
      </c>
      <c r="H167" s="14" t="inlineStr">
        <is>
          <t>§19.5</t>
        </is>
      </c>
      <c r="I167" s="15" t="inlineStr">
        <is>
          <t>Blocked</t>
        </is>
      </c>
      <c r="J167" s="14" t="inlineStr">
        <is>
          <t>รอ UI จาก design</t>
        </is>
      </c>
      <c r="K167" s="15" t="inlineStr"/>
      <c r="L167" s="16" t="inlineStr"/>
      <c r="M167" s="15" t="inlineStr"/>
      <c r="N167" s="15" t="inlineStr"/>
      <c r="O167" s="15" t="inlineStr"/>
    </row>
    <row r="168">
      <c r="A168" s="14" t="inlineStr">
        <is>
          <t>FE-SPOT-17</t>
        </is>
      </c>
      <c r="B168" s="14" t="inlineStr">
        <is>
          <t>FE-SPOT</t>
        </is>
      </c>
      <c r="C168" s="14" t="inlineStr">
        <is>
          <t>Spotlight (HP-11 · task 0.47–0.51)</t>
        </is>
      </c>
      <c r="D168" s="14" t="inlineStr">
        <is>
          <t>P1</t>
        </is>
      </c>
      <c r="E168" s="14" t="inlineStr">
        <is>
          <t>เมนู More</t>
        </is>
      </c>
      <c r="F168" s="14" t="inlineStr">
        <is>
          <t>กด ⋮ ในหน้า Spotlight ทั้งแนวตั้งและแนวนอน · กด Invite</t>
        </is>
      </c>
      <c r="G168" s="14" t="inlineStr">
        <is>
          <t>มี Emoji · Chat · Setting · Invite ทั้ง 2 แนว · ไม่มี Start / Stop และ raise hand · Invite เปิด Invite sheet แท็บ Chat</t>
        </is>
      </c>
      <c r="H168" s="14" t="inlineStr">
        <is>
          <t>§18.9 ข้อ 5</t>
        </is>
      </c>
      <c r="I168" s="15" t="inlineStr">
        <is>
          <t>ยังไม่ทดสอบ</t>
        </is>
      </c>
      <c r="J168" s="14" t="inlineStr"/>
      <c r="K168" s="15" t="inlineStr"/>
      <c r="L168" s="16" t="inlineStr"/>
      <c r="M168" s="15" t="inlineStr"/>
      <c r="N168" s="15" t="inlineStr"/>
      <c r="O168" s="15" t="inlineStr"/>
    </row>
    <row r="169">
      <c r="A169" s="14" t="inlineStr">
        <is>
          <t>FE-SPOT-18</t>
        </is>
      </c>
      <c r="B169" s="14" t="inlineStr">
        <is>
          <t>FE-SPOT</t>
        </is>
      </c>
      <c r="C169" s="14" t="inlineStr">
        <is>
          <t>Spotlight (HP-11 · task 0.47–0.51)</t>
        </is>
      </c>
      <c r="D169" s="14" t="inlineStr">
        <is>
          <t>P1</t>
        </is>
      </c>
      <c r="E169" s="14" t="inlineStr">
        <is>
          <t>Spotlight เต็ม</t>
        </is>
      </c>
      <c r="F169" s="14" t="inlineStr">
        <is>
          <t>ทุกจุด Spotlight บนชั้นมีคนพูดแล้ว กด Start spotlight</t>
        </is>
      </c>
      <c r="G169" s="14" t="inlineStr">
        <is>
          <t>sheet "Spotlight is full" + Done · ไม่เริ่มออกอากาศ</t>
        </is>
      </c>
      <c r="H169" s="14" t="inlineStr">
        <is>
          <t>§18.9 ข้อ 7 · task 0.54</t>
        </is>
      </c>
      <c r="I169" s="15" t="inlineStr">
        <is>
          <t>ยังไม่ทดสอบ</t>
        </is>
      </c>
      <c r="J169" s="14" t="inlineStr"/>
      <c r="K169" s="15" t="inlineStr"/>
      <c r="L169" s="16" t="inlineStr"/>
      <c r="M169" s="15" t="inlineStr"/>
      <c r="N169" s="15" t="inlineStr"/>
      <c r="O169" s="15" t="inlineStr"/>
    </row>
    <row r="170">
      <c r="A170" s="14" t="inlineStr">
        <is>
          <t>FE-SPOT-19</t>
        </is>
      </c>
      <c r="B170" s="14" t="inlineStr">
        <is>
          <t>FE-SPOT</t>
        </is>
      </c>
      <c r="C170" s="14" t="inlineStr">
        <is>
          <t>Spotlight (HP-11 · task 0.47–0.51)</t>
        </is>
      </c>
      <c r="D170" s="14" t="inlineStr">
        <is>
          <t>P2</t>
        </is>
      </c>
      <c r="E170" s="14" t="inlineStr">
        <is>
          <t>PIP รวม + minimap</t>
        </is>
      </c>
      <c r="F170" s="14" t="inlineStr">
        <is>
          <t>อยู่ทั้ง meeting และดู Spotlight แล้วกลับ Lite Home / แมพ · แล้วออกจาก Spotlight เหลือแค่ meeting</t>
        </is>
      </c>
      <c r="G170" s="14" t="inlineStr">
        <is>
          <t>PIP รวม 168×100 "Spotlight | Meeting" · บนแมพ minimap ซ่อนระหว่างมี PIP Spotlight / PIP รวม และกลับมาเมื่อเหลือแค่ PIP meeting (อยู่เหนือ minimap) · แถบล่างบนแมพคุมแค่ meeting ของตัวเอง</t>
        </is>
      </c>
      <c r="H170" s="14" t="inlineStr">
        <is>
          <t>§18.9 ข้อ 11</t>
        </is>
      </c>
      <c r="I170" s="15" t="inlineStr">
        <is>
          <t>ยังไม่ทดสอบ</t>
        </is>
      </c>
      <c r="J170" s="14" t="inlineStr"/>
      <c r="K170" s="15" t="inlineStr"/>
      <c r="L170" s="16" t="inlineStr"/>
      <c r="M170" s="15" t="inlineStr"/>
      <c r="N170" s="15" t="inlineStr"/>
      <c r="O170" s="15" t="inlineStr"/>
    </row>
    <row r="171">
      <c r="A171" s="14" t="inlineStr">
        <is>
          <t>FE-SPOT-20</t>
        </is>
      </c>
      <c r="B171" s="14" t="inlineStr">
        <is>
          <t>FE-SPOT</t>
        </is>
      </c>
      <c r="C171" s="14" t="inlineStr">
        <is>
          <t>Spotlight (HP-11 · task 0.47–0.51)</t>
        </is>
      </c>
      <c r="D171" s="14" t="inlineStr">
        <is>
          <t>P1</t>
        </is>
      </c>
      <c r="E171" s="14" t="inlineStr">
        <is>
          <t>คนดูใน meeting กด Leave</t>
        </is>
      </c>
      <c r="F171" s="14" t="inlineStr">
        <is>
          <t>ดู Spotlight พร้อมห้อง แล้วกด Leave</t>
        </is>
      </c>
      <c r="G171" s="14" t="inlineStr">
        <is>
          <t>ออกจากทั้ง Spotlight และ meeting กลับ Home · คนอื่นในห้องยังดูต่อ</t>
        </is>
      </c>
      <c r="H171" s="14" t="inlineStr">
        <is>
          <t>§18.9 ข้อ 10</t>
        </is>
      </c>
      <c r="I171" s="15" t="inlineStr">
        <is>
          <t>ยังไม่ทดสอบ</t>
        </is>
      </c>
      <c r="J171" s="14" t="inlineStr"/>
      <c r="K171" s="15" t="inlineStr"/>
      <c r="L171" s="16" t="inlineStr"/>
      <c r="M171" s="15" t="inlineStr"/>
      <c r="N171" s="15" t="inlineStr"/>
      <c r="O171" s="15" t="inlineStr"/>
    </row>
    <row r="172">
      <c r="A172" s="14" t="inlineStr">
        <is>
          <t>FE-EDGE-01</t>
        </is>
      </c>
      <c r="B172" s="14" t="inlineStr">
        <is>
          <t>FE-EDGE</t>
        </is>
      </c>
      <c r="C172" s="14" t="inlineStr">
        <is>
          <t>หน้า desktop only / Safari (EC-01, EC-02)</t>
        </is>
      </c>
      <c r="D172" s="14" t="inlineStr">
        <is>
          <t>P1</t>
        </is>
      </c>
      <c r="E172" s="14" t="inlineStr">
        <is>
          <t>เปิดหน้า admin / editor บนมือถือ</t>
        </is>
      </c>
      <c r="F172" s="14" t="inlineStr">
        <is>
          <t>เปิด URL /admin/..., map editor, workspace editor</t>
        </is>
      </c>
      <c r="G172" s="14" t="inlineStr">
        <is>
          <t>ไปหน้า Space builder + toast "This page is available on desktop only." · ไม่ crash · ไม่มีหน้า QR</t>
        </is>
      </c>
      <c r="H172" s="14" t="inlineStr">
        <is>
          <t>§19.6</t>
        </is>
      </c>
      <c r="I172" s="15" t="inlineStr">
        <is>
          <t>ยังไม่ทดสอบ</t>
        </is>
      </c>
      <c r="J172" s="14" t="inlineStr"/>
      <c r="K172" s="15" t="inlineStr"/>
      <c r="L172" s="16" t="inlineStr"/>
      <c r="M172" s="15" t="inlineStr"/>
      <c r="N172" s="15" t="inlineStr"/>
      <c r="O172" s="15" t="inlineStr"/>
    </row>
    <row r="173">
      <c r="A173" s="14" t="inlineStr">
        <is>
          <t>FE-EDGE-02</t>
        </is>
      </c>
      <c r="B173" s="14" t="inlineStr">
        <is>
          <t>FE-EDGE</t>
        </is>
      </c>
      <c r="C173" s="14" t="inlineStr">
        <is>
          <t>หน้า desktop only / Safari (EC-01, EC-02)</t>
        </is>
      </c>
      <c r="D173" s="14" t="inlineStr">
        <is>
          <t>P1</t>
        </is>
      </c>
      <c r="E173" s="14" t="inlineStr">
        <is>
          <t>ไม่มีทางเข้าหน้า admin ในแอป</t>
        </is>
      </c>
      <c r="F173" s="14" t="inlineStr">
        <is>
          <t>ไล่ทุกเมนูในแอป</t>
        </is>
      </c>
      <c r="G173" s="14" t="inlineStr">
        <is>
          <t>ไม่มีปุ่ม Build / Edit / Preview</t>
        </is>
      </c>
      <c r="H173" s="14" t="inlineStr">
        <is>
          <t>screens J</t>
        </is>
      </c>
      <c r="I173" s="15" t="inlineStr">
        <is>
          <t>ยังไม่ทดสอบ</t>
        </is>
      </c>
      <c r="J173" s="14" t="inlineStr"/>
      <c r="K173" s="15" t="inlineStr"/>
      <c r="L173" s="16" t="inlineStr"/>
      <c r="M173" s="15" t="inlineStr"/>
      <c r="N173" s="15" t="inlineStr"/>
      <c r="O173" s="15" t="inlineStr"/>
    </row>
    <row r="174">
      <c r="A174" s="14" t="inlineStr">
        <is>
          <t>FE-EDGE-03</t>
        </is>
      </c>
      <c r="B174" s="14" t="inlineStr">
        <is>
          <t>FE-EDGE</t>
        </is>
      </c>
      <c r="C174" s="14" t="inlineStr">
        <is>
          <t>หน้า desktop only / Safari (EC-01, EC-02)</t>
        </is>
      </c>
      <c r="D174" s="14" t="inlineStr">
        <is>
          <t>P2</t>
        </is>
      </c>
      <c r="E174" s="14" t="inlineStr">
        <is>
          <t>banner Safari</t>
        </is>
      </c>
      <c r="F174" s="14" t="inlineStr">
        <is>
          <t>เปิดเว็บใน Safari iOS</t>
        </is>
      </c>
      <c r="G174" s="14" t="inlineStr">
        <is>
          <t>banner แนะนำให้ใช้แอป · เตือนเสียงหลุดตอนเข้า meeting ครั้งแรก</t>
        </is>
      </c>
      <c r="H174" s="14" t="inlineStr">
        <is>
          <t>clickup-spec §15</t>
        </is>
      </c>
      <c r="I174" s="15" t="inlineStr">
        <is>
          <t>Blocked</t>
        </is>
      </c>
      <c r="J174" s="14" t="inlineStr">
        <is>
          <t>รอ UI จาก design</t>
        </is>
      </c>
      <c r="K174" s="15" t="inlineStr"/>
      <c r="L174" s="16" t="inlineStr"/>
      <c r="M174" s="15" t="inlineStr"/>
      <c r="N174" s="15" t="inlineStr"/>
      <c r="O174" s="15" t="inlineStr"/>
    </row>
    <row r="175">
      <c r="A175" s="14" t="inlineStr">
        <is>
          <t>FE-EDGE-04</t>
        </is>
      </c>
      <c r="B175" s="14" t="inlineStr">
        <is>
          <t>FE-EDGE</t>
        </is>
      </c>
      <c r="C175" s="14" t="inlineStr">
        <is>
          <t>หน้า desktop only / Safari (EC-01, EC-02)</t>
        </is>
      </c>
      <c r="D175" s="14" t="inlineStr">
        <is>
          <t>P1</t>
        </is>
      </c>
      <c r="E175" s="14" t="inlineStr">
        <is>
          <t>deep link 4 กรณี</t>
        </is>
      </c>
      <c r="F175" s="14" t="inlineStr">
        <is>
          <t>แตะลิงก์เชิญ / zyra://workspace/&lt;id&gt; ตอน (ก) ยังไม่ login (ข) ยังไม่เป็นสมาชิก (ค) workspace ถูกลบ (ง) เปิดจากเว็บเครื่องที่ไม่มีแอป</t>
        </is>
      </c>
      <c r="G175" s="14" t="inlineStr">
        <is>
          <t>(ก) Get started แล้วไปต่อที่ลิงก์หลัง login (ข) หน้ารับคำเชิญ Accept / Decline → Select mode (ค) "This link is no longer available" + Go to Space builder (ง) mobile web + banner "Open in Zyra app"</t>
        </is>
      </c>
      <c r="H175" s="14" t="inlineStr">
        <is>
          <t>§22.2 · task 0.60</t>
        </is>
      </c>
      <c r="I175" s="15" t="inlineStr">
        <is>
          <t>Blocked</t>
        </is>
      </c>
      <c r="J175" s="14" t="inlineStr">
        <is>
          <t>รอ UI จาก design</t>
        </is>
      </c>
      <c r="K175" s="15" t="inlineStr"/>
      <c r="L175" s="16" t="inlineStr"/>
      <c r="M175" s="15" t="inlineStr"/>
      <c r="N175" s="15" t="inlineStr"/>
      <c r="O175" s="15" t="inlineStr"/>
    </row>
    <row r="176">
      <c r="A176" s="14" t="inlineStr">
        <is>
          <t>FE-STORE-01</t>
        </is>
      </c>
      <c r="B176" s="14" t="inlineStr">
        <is>
          <t>FE-STORE</t>
        </is>
      </c>
      <c r="C176" s="14" t="inlineStr">
        <is>
          <t>ก่อนส่ง store</t>
        </is>
      </c>
      <c r="D176" s="14" t="inlineStr">
        <is>
          <t>P0</t>
        </is>
      </c>
      <c r="E176" s="14" t="inlineStr">
        <is>
          <t>ลบบัญชีในแอป (Apple 5.1.1(v))</t>
        </is>
      </c>
      <c r="F176" s="14" t="inlineStr">
        <is>
          <t>—</t>
        </is>
      </c>
      <c r="G176" s="14" t="inlineStr">
        <is>
          <t>รอมติ PM + UI + API</t>
        </is>
      </c>
      <c r="H176" s="14" t="inlineStr">
        <is>
          <t>open-items §4</t>
        </is>
      </c>
      <c r="I176" s="15" t="inlineStr">
        <is>
          <t>Blocked</t>
        </is>
      </c>
      <c r="J176" s="14" t="inlineStr">
        <is>
          <t>รอมติ</t>
        </is>
      </c>
      <c r="K176" s="15" t="inlineStr"/>
      <c r="L176" s="16" t="inlineStr"/>
      <c r="M176" s="15" t="inlineStr"/>
      <c r="N176" s="15" t="inlineStr"/>
      <c r="O176" s="15" t="inlineStr"/>
    </row>
    <row r="177">
      <c r="A177" s="14" t="inlineStr">
        <is>
          <t>FE-STORE-02</t>
        </is>
      </c>
      <c r="B177" s="14" t="inlineStr">
        <is>
          <t>FE-STORE</t>
        </is>
      </c>
      <c r="C177" s="14" t="inlineStr">
        <is>
          <t>ก่อนส่ง store</t>
        </is>
      </c>
      <c r="D177" s="14" t="inlineStr">
        <is>
          <t>P0</t>
        </is>
      </c>
      <c r="E177" s="14" t="inlineStr">
        <is>
          <t>bundle id / ชื่อ / ไอคอน</t>
        </is>
      </c>
      <c r="F177" s="14" t="inlineStr">
        <is>
          <t>ดูแอปบนเครื่อง</t>
        </is>
      </c>
      <c r="G177" s="14" t="inlineStr">
        <is>
          <t>ชื่อ Zyra World · bundle id co.zyraworld.app · ไอคอนตัว Z ไฟล์ไอคอน</t>
        </is>
      </c>
      <c r="H177" s="14" t="inlineStr">
        <is>
          <t>spec OQ 3</t>
        </is>
      </c>
      <c r="I177" s="15" t="inlineStr">
        <is>
          <t>Blocked</t>
        </is>
      </c>
      <c r="J177" s="14" t="inlineStr">
        <is>
          <t>รอ UI จาก design</t>
        </is>
      </c>
      <c r="K177" s="15" t="inlineStr"/>
      <c r="L177" s="16" t="inlineStr"/>
      <c r="M177" s="15" t="inlineStr"/>
      <c r="N177" s="15" t="inlineStr"/>
      <c r="O177" s="15" t="inlineStr"/>
    </row>
    <row r="178">
      <c r="A178" s="14" t="inlineStr">
        <is>
          <t>FE-STORE-03</t>
        </is>
      </c>
      <c r="B178" s="14" t="inlineStr">
        <is>
          <t>FE-STORE</t>
        </is>
      </c>
      <c r="C178" s="14" t="inlineStr">
        <is>
          <t>ก่อนส่ง store</t>
        </is>
      </c>
      <c r="D178" s="14" t="inlineStr">
        <is>
          <t>P0</t>
        </is>
      </c>
      <c r="E178" s="14" t="inlineStr">
        <is>
          <t>ติดตั้งจาก TestFlight / Play internal</t>
        </is>
      </c>
      <c r="F178" s="14" t="inlineStr">
        <is>
          <t>ติดตั้งบนเครื่องจริง</t>
        </is>
      </c>
      <c r="G178" s="14" t="inlineStr">
        <is>
          <t>ติดตั้งและเปิดได้ · version ตรงกับ tag</t>
        </is>
      </c>
      <c r="H178" s="14" t="inlineStr">
        <is>
          <t>task 1.12</t>
        </is>
      </c>
      <c r="I178" s="15" t="inlineStr">
        <is>
          <t>ยังไม่ทดสอบ</t>
        </is>
      </c>
      <c r="J178" s="14" t="inlineStr"/>
      <c r="K178" s="15" t="inlineStr"/>
      <c r="L178" s="16" t="inlineStr"/>
      <c r="M178" s="15" t="inlineStr"/>
      <c r="N178" s="15" t="inlineStr"/>
      <c r="O178" s="15" t="inlineStr"/>
    </row>
    <row r="179">
      <c r="A179" s="14" t="inlineStr">
        <is>
          <t>FE-STORE-04</t>
        </is>
      </c>
      <c r="B179" s="14" t="inlineStr">
        <is>
          <t>FE-STORE</t>
        </is>
      </c>
      <c r="C179" s="14" t="inlineStr">
        <is>
          <t>ก่อนส่ง store</t>
        </is>
      </c>
      <c r="D179" s="14" t="inlineStr">
        <is>
          <t>P1</t>
        </is>
      </c>
      <c r="E179" s="14" t="inlineStr">
        <is>
          <t>splash / status bar</t>
        </is>
      </c>
      <c r="F179" s="14" t="inlineStr">
        <is>
          <t>เปิดแอป</t>
        </is>
      </c>
      <c r="G179" s="14" t="inlineStr">
        <is>
          <t>status bar สี #1A1B1E · ไม่มีจอขาวกระพริบ</t>
        </is>
      </c>
      <c r="H179" s="14" t="inlineStr">
        <is>
          <t>task 1.2</t>
        </is>
      </c>
      <c r="I179" s="15" t="inlineStr">
        <is>
          <t>ยังไม่ทดสอบ</t>
        </is>
      </c>
      <c r="J179" s="14" t="inlineStr"/>
      <c r="K179" s="15" t="inlineStr"/>
      <c r="L179" s="16" t="inlineStr"/>
      <c r="M179" s="15" t="inlineStr"/>
      <c r="N179" s="15" t="inlineStr"/>
      <c r="O179" s="15" t="inlineStr"/>
    </row>
    <row r="180">
      <c r="A180" s="14" t="inlineStr">
        <is>
          <t>FE-STORE-05</t>
        </is>
      </c>
      <c r="B180" s="14" t="inlineStr">
        <is>
          <t>FE-STORE</t>
        </is>
      </c>
      <c r="C180" s="14" t="inlineStr">
        <is>
          <t>ก่อนส่ง store</t>
        </is>
      </c>
      <c r="D180" s="14" t="inlineStr">
        <is>
          <t>P0</t>
        </is>
      </c>
      <c r="E180" s="14" t="inlineStr">
        <is>
          <t>บังคับอัปเดตแอป</t>
        </is>
      </c>
      <c r="F180" s="14" t="inlineStr">
        <is>
          <t>ตั้ง min_version สูงกว่าแอป · ตั้ง latest สูงกว่าแต่ min ต่ำกว่า · ปิดเน็ตตอนเปิดแอป</t>
        </is>
      </c>
      <c r="G180" s="14" t="inlineStr">
        <is>
          <t>หน้า "Update required" ปิดไม่ได้ ปุ่มพาไป store · sheet "Update available" วันละครั้ง กด Later ได้ · offline ข้ามการเช็ค · mobile web ไม่เช็ค</t>
        </is>
      </c>
      <c r="H180" s="14" t="inlineStr">
        <is>
          <t>§21.2 · task 0.57</t>
        </is>
      </c>
      <c r="I180" s="15" t="inlineStr">
        <is>
          <t>Blocked</t>
        </is>
      </c>
      <c r="J180" s="14" t="inlineStr">
        <is>
          <t>รอ UI จาก design</t>
        </is>
      </c>
      <c r="K180" s="15" t="inlineStr"/>
      <c r="L180" s="16" t="inlineStr"/>
      <c r="M180" s="15" t="inlineStr"/>
      <c r="N180" s="15" t="inlineStr"/>
      <c r="O180" s="15" t="inlineStr"/>
    </row>
  </sheetData>
  <autoFilter ref="A1:O180"/>
  <conditionalFormatting sqref="I2:I180">
    <cfRule type="expression" priority="1" dxfId="0">
      <formula>$I2="ผ่าน"</formula>
    </cfRule>
    <cfRule type="expression" priority="2" dxfId="1">
      <formula>$I2="ไม่ผ่าน"</formula>
    </cfRule>
    <cfRule type="expression" priority="3" dxfId="2">
      <formula>$I2="Blocked"</formula>
    </cfRule>
  </conditionalFormatting>
  <conditionalFormatting sqref="D2:D180">
    <cfRule type="expression" priority="4" dxfId="3">
      <formula>$D2="P0"</formula>
    </cfRule>
  </conditionalFormatting>
  <dataValidations count="3">
    <dataValidation sqref="I2:I180" showDropDown="0" showInputMessage="0" showErrorMessage="1" allowBlank="0" errorTitle="สถานะไม่ถูกต้อง" error="เลือกจากรายการ: ยังไม่ทดสอบ / ผ่าน / ไม่ผ่าน / Blocked" type="list">
      <formula1>"ยังไม่ทดสอบ,ผ่าน,ไม่ผ่าน,Blocked"</formula1>
    </dataValidation>
    <dataValidation sqref="D2:D180" showDropDown="0" showInputMessage="0" showErrorMessage="0" allowBlank="1" type="list">
      <formula1>"P0,P1,P2,-"</formula1>
    </dataValidation>
    <dataValidation sqref="L2:L180" showDropDown="0" showInputMessage="0" showErrorMessage="1" allowBlank="1" error="ใส่วันที่ เช่น 2026-10-20" type="date" operator="greaterThan">
      <formula1>DATE(2026,1,1)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26" customWidth="1" min="3" max="3"/>
    <col width="9" customWidth="1" min="4" max="4"/>
    <col width="34" customWidth="1" min="5" max="5"/>
    <col width="46" customWidth="1" min="6" max="6"/>
    <col width="56" customWidth="1" min="7" max="7"/>
    <col width="22" customWidth="1" min="8" max="8"/>
    <col width="13" customWidth="1" min="9" max="9"/>
    <col width="18" customWidth="1" min="10" max="10"/>
    <col width="14" customWidth="1" min="11" max="11"/>
    <col width="13" customWidth="1" min="12" max="12"/>
    <col width="22" customWidth="1" min="13" max="13"/>
    <col width="22" customWidth="1" min="14" max="14"/>
    <col width="30" customWidth="1" min="15" max="15"/>
  </cols>
  <sheetData>
    <row r="1" ht="30" customHeight="1">
      <c r="A1" s="8" t="inlineStr">
        <is>
          <t>ID</t>
        </is>
      </c>
      <c r="B1" s="8" t="inlineStr">
        <is>
          <t>กลุ่ม</t>
        </is>
      </c>
      <c r="C1" s="8" t="inlineStr">
        <is>
          <t>หัวข้อกลุ่ม</t>
        </is>
      </c>
      <c r="D1" s="8" t="inlineStr">
        <is>
          <t>Priority</t>
        </is>
      </c>
      <c r="E1" s="8" t="inlineStr">
        <is>
          <t>กรณี</t>
        </is>
      </c>
      <c r="F1" s="8" t="inlineStr">
        <is>
          <t>ขั้นตอน</t>
        </is>
      </c>
      <c r="G1" s="8" t="inlineStr">
        <is>
          <t>ผลที่คาด</t>
        </is>
      </c>
      <c r="H1" s="8" t="inlineStr">
        <is>
          <t>อ้างอิง</t>
        </is>
      </c>
      <c r="I1" s="8" t="inlineStr">
        <is>
          <t>สถานะ</t>
        </is>
      </c>
      <c r="J1" s="8" t="inlineStr">
        <is>
          <t>เหตุที่ blocked</t>
        </is>
      </c>
      <c r="K1" s="8" t="inlineStr">
        <is>
          <t>ผู้ทดสอบ</t>
        </is>
      </c>
      <c r="L1" s="8" t="inlineStr">
        <is>
          <t>วันที่ทดสอบ</t>
        </is>
      </c>
      <c r="M1" s="8" t="inlineStr">
        <is>
          <t>เครื่อง / ช่องทาง</t>
        </is>
      </c>
      <c r="N1" s="8" t="inlineStr">
        <is>
          <t>ลิงก์ bug</t>
        </is>
      </c>
      <c r="O1" s="8" t="inlineStr">
        <is>
          <t>หมายเหตุ</t>
        </is>
      </c>
    </row>
    <row r="2">
      <c r="A2" s="14" t="inlineStr">
        <is>
          <t>BE-AUTH-01</t>
        </is>
      </c>
      <c r="B2" s="14" t="inlineStr">
        <is>
          <t>BE-AUTH</t>
        </is>
      </c>
      <c r="C2" s="14" t="inlineStr">
        <is>
          <t>login (zyra-api · task 1.4, 1.5)</t>
        </is>
      </c>
      <c r="D2" s="14" t="inlineStr">
        <is>
          <t>P0</t>
        </is>
      </c>
      <c r="E2" s="14" t="inlineStr">
        <is>
          <t>Google id_token จากแอป</t>
        </is>
      </c>
      <c r="F2" s="14" t="inlineStr">
        <is>
          <t>POST /api/authen/login_google ด้วย id_token ของ client iOS / Android / web</t>
        </is>
      </c>
      <c r="G2" s="14" t="inlineStr">
        <is>
          <t>ยอมรับทั้ง 3 audience · ได้ token ใน model.APIResponse</t>
        </is>
      </c>
      <c r="H2" s="14" t="inlineStr">
        <is>
          <t>task 1.4</t>
        </is>
      </c>
      <c r="I2" s="15" t="inlineStr">
        <is>
          <t>ยังไม่ทดสอบ</t>
        </is>
      </c>
      <c r="J2" s="14" t="inlineStr"/>
      <c r="K2" s="15" t="inlineStr"/>
      <c r="L2" s="16" t="inlineStr"/>
      <c r="M2" s="15" t="inlineStr"/>
      <c r="N2" s="15" t="inlineStr"/>
      <c r="O2" s="15" t="inlineStr"/>
    </row>
    <row r="3">
      <c r="A3" s="14" t="inlineStr">
        <is>
          <t>BE-AUTH-02</t>
        </is>
      </c>
      <c r="B3" s="14" t="inlineStr">
        <is>
          <t>BE-AUTH</t>
        </is>
      </c>
      <c r="C3" s="14" t="inlineStr">
        <is>
          <t>login (zyra-api · task 1.4, 1.5)</t>
        </is>
      </c>
      <c r="D3" s="14" t="inlineStr">
        <is>
          <t>P0</t>
        </is>
      </c>
      <c r="E3" s="14" t="inlineStr">
        <is>
          <t>Google token ผิด / หมดอายุ / audience อื่น</t>
        </is>
      </c>
      <c r="F3" s="14" t="inlineStr">
        <is>
          <t>ส่ง token ไม่ถูกต้อง</t>
        </is>
      </c>
      <c r="G3" s="14" t="inlineStr">
        <is>
          <t>401 พร้อม envelope · ไม่สร้าง user</t>
        </is>
      </c>
      <c r="H3" s="14" t="inlineStr">
        <is>
          <t>task 1.4</t>
        </is>
      </c>
      <c r="I3" s="15" t="inlineStr">
        <is>
          <t>ยังไม่ทดสอบ</t>
        </is>
      </c>
      <c r="J3" s="14" t="inlineStr"/>
      <c r="K3" s="15" t="inlineStr"/>
      <c r="L3" s="16" t="inlineStr"/>
      <c r="M3" s="15" t="inlineStr"/>
      <c r="N3" s="15" t="inlineStr"/>
      <c r="O3" s="15" t="inlineStr"/>
    </row>
    <row r="4">
      <c r="A4" s="14" t="inlineStr">
        <is>
          <t>BE-AUTH-03</t>
        </is>
      </c>
      <c r="B4" s="14" t="inlineStr">
        <is>
          <t>BE-AUTH</t>
        </is>
      </c>
      <c r="C4" s="14" t="inlineStr">
        <is>
          <t>login (zyra-api · task 1.4, 1.5)</t>
        </is>
      </c>
      <c r="D4" s="14" t="inlineStr">
        <is>
          <t>P0</t>
        </is>
      </c>
      <c r="E4" s="14" t="inlineStr">
        <is>
          <t>Sign in with Apple</t>
        </is>
      </c>
      <c r="F4" s="14" t="inlineStr">
        <is>
          <t>POST /api/authen/login_apple ด้วย identityToken</t>
        </is>
      </c>
      <c r="G4" s="14" t="inlineStr">
        <is>
          <t>ตรวจ JWT กับ Apple keys · ผูก user ด้วย sub · login ครั้งต่อไปด้วย sub เดิมได้ user เดิม</t>
        </is>
      </c>
      <c r="H4" s="14" t="inlineStr">
        <is>
          <t>task 1.5</t>
        </is>
      </c>
      <c r="I4" s="15" t="inlineStr">
        <is>
          <t>ยังไม่ทดสอบ</t>
        </is>
      </c>
      <c r="J4" s="14" t="inlineStr"/>
      <c r="K4" s="15" t="inlineStr"/>
      <c r="L4" s="16" t="inlineStr"/>
      <c r="M4" s="15" t="inlineStr"/>
      <c r="N4" s="15" t="inlineStr"/>
      <c r="O4" s="15" t="inlineStr"/>
    </row>
    <row r="5">
      <c r="A5" s="14" t="inlineStr">
        <is>
          <t>BE-AUTH-04</t>
        </is>
      </c>
      <c r="B5" s="14" t="inlineStr">
        <is>
          <t>BE-AUTH</t>
        </is>
      </c>
      <c r="C5" s="14" t="inlineStr">
        <is>
          <t>login (zyra-api · task 1.4, 1.5)</t>
        </is>
      </c>
      <c r="D5" s="14" t="inlineStr">
        <is>
          <t>P1</t>
        </is>
      </c>
      <c r="E5" s="14" t="inlineStr">
        <is>
          <t>Apple ซ่อนอีเมล</t>
        </is>
      </c>
      <c r="F5" s="14" t="inlineStr">
        <is>
          <t>login ด้วย private relay email</t>
        </is>
      </c>
      <c r="G5" s="14" t="inlineStr">
        <is>
          <t>สร้าง/ผูก user ได้ · ไม่ชนกับ user อื่น</t>
        </is>
      </c>
      <c r="H5" s="14" t="inlineStr">
        <is>
          <t>task 1.5</t>
        </is>
      </c>
      <c r="I5" s="15" t="inlineStr">
        <is>
          <t>ยังไม่ทดสอบ</t>
        </is>
      </c>
      <c r="J5" s="14" t="inlineStr"/>
      <c r="K5" s="15" t="inlineStr"/>
      <c r="L5" s="16" t="inlineStr"/>
      <c r="M5" s="15" t="inlineStr"/>
      <c r="N5" s="15" t="inlineStr"/>
      <c r="O5" s="15" t="inlineStr"/>
    </row>
    <row r="6">
      <c r="A6" s="14" t="inlineStr">
        <is>
          <t>BE-AUTH-05</t>
        </is>
      </c>
      <c r="B6" s="14" t="inlineStr">
        <is>
          <t>BE-AUTH</t>
        </is>
      </c>
      <c r="C6" s="14" t="inlineStr">
        <is>
          <t>login (zyra-api · task 1.4, 1.5)</t>
        </is>
      </c>
      <c r="D6" s="14" t="inlineStr">
        <is>
          <t>P1</t>
        </is>
      </c>
      <c r="E6" s="14" t="inlineStr">
        <is>
          <t>Apple บนเว็บ</t>
        </is>
      </c>
      <c r="F6" s="14" t="inlineStr">
        <is>
          <t>login จากเว็บ (Services ID)</t>
        </is>
      </c>
      <c r="G6" s="14" t="inlineStr">
        <is>
          <t>ใช้ endpoint เดียวกัน · ได้ user เดียวกับในแอป</t>
        </is>
      </c>
      <c r="H6" s="14" t="inlineStr">
        <is>
          <t>task 1.5</t>
        </is>
      </c>
      <c r="I6" s="15" t="inlineStr">
        <is>
          <t>ยังไม่ทดสอบ</t>
        </is>
      </c>
      <c r="J6" s="14" t="inlineStr"/>
      <c r="K6" s="15" t="inlineStr"/>
      <c r="L6" s="16" t="inlineStr"/>
      <c r="M6" s="15" t="inlineStr"/>
      <c r="N6" s="15" t="inlineStr"/>
      <c r="O6" s="15" t="inlineStr"/>
    </row>
    <row r="7">
      <c r="A7" s="14" t="inlineStr">
        <is>
          <t>BE-AUTH-06</t>
        </is>
      </c>
      <c r="B7" s="14" t="inlineStr">
        <is>
          <t>BE-AUTH</t>
        </is>
      </c>
      <c r="C7" s="14" t="inlineStr">
        <is>
          <t>login (zyra-api · task 1.4, 1.5)</t>
        </is>
      </c>
      <c r="D7" s="14" t="inlineStr">
        <is>
          <t>P1</t>
        </is>
      </c>
      <c r="E7" s="14" t="inlineStr">
        <is>
          <t>cookie / session ใน WebView</t>
        </is>
      </c>
      <c r="F7" s="14" t="inlineStr">
        <is>
          <t>login ในแอปแล้วปิดเปิดแอป</t>
        </is>
      </c>
      <c r="G7" s="14" t="inlineStr">
        <is>
          <t>session ยังอยู่ · refresh token ทำงาน</t>
        </is>
      </c>
      <c r="H7" s="14" t="inlineStr">
        <is>
          <t>TD §2</t>
        </is>
      </c>
      <c r="I7" s="15" t="inlineStr">
        <is>
          <t>ยังไม่ทดสอบ</t>
        </is>
      </c>
      <c r="J7" s="14" t="inlineStr"/>
      <c r="K7" s="15" t="inlineStr"/>
      <c r="L7" s="16" t="inlineStr"/>
      <c r="M7" s="15" t="inlineStr"/>
      <c r="N7" s="15" t="inlineStr"/>
      <c r="O7" s="15" t="inlineStr"/>
    </row>
    <row r="8">
      <c r="A8" s="14" t="inlineStr">
        <is>
          <t>BE-AUTH-07</t>
        </is>
      </c>
      <c r="B8" s="14" t="inlineStr">
        <is>
          <t>BE-AUTH</t>
        </is>
      </c>
      <c r="C8" s="14" t="inlineStr">
        <is>
          <t>login (zyra-api · task 1.4, 1.5)</t>
        </is>
      </c>
      <c r="D8" s="14" t="inlineStr">
        <is>
          <t>P0</t>
        </is>
      </c>
      <c r="E8" s="14" t="inlineStr">
        <is>
          <t>DELETE /api/user/me</t>
        </is>
      </c>
      <c r="F8" s="14" t="inlineStr">
        <is>
          <t>ลบบัญชีตัวเองด้วยอีเมลถูก / ผิด · เป็นเจ้าของ workspace ที่มีสมาชิก และที่ไม่มีสมาชิก</t>
        </is>
      </c>
      <c r="G8" s="14" t="inlineStr">
        <is>
          <t>อีเมลผิด = error · ถูก = soft-delete + email hash · workspace โอนให้คนที่อยู่นานที่สุด · workspace ไม่มีสมาชิก = ถูกลบ · token ทุกเครื่องใช้ไม่ได้ · device token ถูกลบ · เรียกด้วย route admin ไม่ได้</t>
        </is>
      </c>
      <c r="H8" s="14" t="inlineStr">
        <is>
          <t>§20.4 · task 0.55</t>
        </is>
      </c>
      <c r="I8" s="15" t="inlineStr">
        <is>
          <t>ยังไม่ทดสอบ</t>
        </is>
      </c>
      <c r="J8" s="14" t="inlineStr"/>
      <c r="K8" s="15" t="inlineStr"/>
      <c r="L8" s="16" t="inlineStr"/>
      <c r="M8" s="15" t="inlineStr"/>
      <c r="N8" s="15" t="inlineStr"/>
      <c r="O8" s="15" t="inlineStr"/>
    </row>
    <row r="9">
      <c r="A9" s="14" t="inlineStr">
        <is>
          <t>BE-AUTH-08</t>
        </is>
      </c>
      <c r="B9" s="14" t="inlineStr">
        <is>
          <t>BE-AUTH</t>
        </is>
      </c>
      <c r="C9" s="14" t="inlineStr">
        <is>
          <t>login (zyra-api · task 1.4, 1.5)</t>
        </is>
      </c>
      <c r="D9" s="14" t="inlineStr">
        <is>
          <t>P1</t>
        </is>
      </c>
      <c r="E9" s="14" t="inlineStr">
        <is>
          <t>ชื่อของบัญชีที่ถูกลบ</t>
        </is>
      </c>
      <c r="F9" s="14" t="inlineStr">
        <is>
          <t>ดึงแชท / member list ที่มีข้อความของบัญชีที่ถูกลบ</t>
        </is>
      </c>
      <c r="G9" s="14" t="inlineStr">
        <is>
          <t>แสดง "Deleted user" + avatar ว่าง</t>
        </is>
      </c>
      <c r="H9" s="14" t="inlineStr">
        <is>
          <t>§20.5 ข้อ 5</t>
        </is>
      </c>
      <c r="I9" s="15" t="inlineStr">
        <is>
          <t>ยังไม่ทดสอบ</t>
        </is>
      </c>
      <c r="J9" s="14" t="inlineStr"/>
      <c r="K9" s="15" t="inlineStr"/>
      <c r="L9" s="16" t="inlineStr"/>
      <c r="M9" s="15" t="inlineStr"/>
      <c r="N9" s="15" t="inlineStr"/>
      <c r="O9" s="15" t="inlineStr"/>
    </row>
    <row r="10">
      <c r="A10" s="14" t="inlineStr">
        <is>
          <t>BE-AUTH-09</t>
        </is>
      </c>
      <c r="B10" s="14" t="inlineStr">
        <is>
          <t>BE-AUTH</t>
        </is>
      </c>
      <c r="C10" s="14" t="inlineStr">
        <is>
          <t>login (zyra-api · task 1.4, 1.5)</t>
        </is>
      </c>
      <c r="D10" s="14" t="inlineStr">
        <is>
          <t>P1</t>
        </is>
      </c>
      <c r="E10" s="14" t="inlineStr">
        <is>
          <t>Sign in with Apple revoke</t>
        </is>
      </c>
      <c r="F10" s="14" t="inlineStr">
        <is>
          <t>ลบบัญชีที่สมัครด้วย Apple</t>
        </is>
      </c>
      <c r="G10" s="14" t="inlineStr">
        <is>
          <t>เรียก Apple revoke token สำเร็จ · log ไม่มี token</t>
        </is>
      </c>
      <c r="H10" s="14" t="inlineStr">
        <is>
          <t>§20.4 · task 1.5</t>
        </is>
      </c>
      <c r="I10" s="15" t="inlineStr">
        <is>
          <t>ยังไม่ทดสอบ</t>
        </is>
      </c>
      <c r="J10" s="14" t="inlineStr"/>
      <c r="K10" s="15" t="inlineStr"/>
      <c r="L10" s="16" t="inlineStr"/>
      <c r="M10" s="15" t="inlineStr"/>
      <c r="N10" s="15" t="inlineStr"/>
      <c r="O10" s="15" t="inlineStr"/>
    </row>
    <row r="11">
      <c r="A11" s="14" t="inlineStr">
        <is>
          <t>BE-AUTH-10</t>
        </is>
      </c>
      <c r="B11" s="14" t="inlineStr">
        <is>
          <t>BE-AUTH</t>
        </is>
      </c>
      <c r="C11" s="14" t="inlineStr">
        <is>
          <t>login (zyra-api · task 1.4, 1.5)</t>
        </is>
      </c>
      <c r="D11" s="14" t="inlineStr">
        <is>
          <t>P0</t>
        </is>
      </c>
      <c r="E11" s="14" t="inlineStr">
        <is>
          <t>ลบแล้วไม่กระทบคนอื่น</t>
        </is>
      </c>
      <c r="F11" s="14" t="inlineStr">
        <is>
          <t>ลบบัญชีที่เป็นสมาชิก workspace, admin คนเดียวของกลุ่มแชท, จอง private zone และมี DM กับคนอื่น</t>
        </is>
      </c>
      <c r="G11" s="14" t="inlineStr">
        <is>
          <t>ไม่อยู่ในรายชื่อสมาชิก workspace / กลุ่ม · กลุ่มมี admin ใหม่ (คนที่อยู่นานที่สุด) · private zone ว่าง · อีกฝ่ายยังอ่าน DM ได้แต่ส่งไม่ได้ · ข้อความเก่าขึ้น "Deleted user"</t>
        </is>
      </c>
      <c r="H11" s="14" t="inlineStr">
        <is>
          <t>§20.6 · task 0.55</t>
        </is>
      </c>
      <c r="I11" s="15" t="inlineStr">
        <is>
          <t>ยังไม่ทดสอบ</t>
        </is>
      </c>
      <c r="J11" s="14" t="inlineStr"/>
      <c r="K11" s="15" t="inlineStr"/>
      <c r="L11" s="16" t="inlineStr"/>
      <c r="M11" s="15" t="inlineStr"/>
      <c r="N11" s="15" t="inlineStr"/>
      <c r="O11" s="15" t="inlineStr"/>
    </row>
    <row r="12">
      <c r="A12" s="14" t="inlineStr">
        <is>
          <t>BE-AUTH-11</t>
        </is>
      </c>
      <c r="B12" s="14" t="inlineStr">
        <is>
          <t>BE-AUTH</t>
        </is>
      </c>
      <c r="C12" s="14" t="inlineStr">
        <is>
          <t>login (zyra-api · task 1.4, 1.5)</t>
        </is>
      </c>
      <c r="D12" s="14" t="inlineStr">
        <is>
          <t>P1</t>
        </is>
      </c>
      <c r="E12" s="14" t="inlineStr">
        <is>
          <t>admin ลบใช้ logic เดียวกัน</t>
        </is>
      </c>
      <c r="F12" s="14" t="inlineStr">
        <is>
          <t>admin ของระบบลบบัญชีเดียวกันจากหน้า admin</t>
        </is>
      </c>
      <c r="G12" s="14" t="inlineStr">
        <is>
          <t>ผลเหมือน BE-AUTH-10 ทุกข้อ · admin ลบตัวเองไม่ได้ · Owner / Admin ของ workspace ไม่มีทางลบบัญชี (ทำได้แค่ Remove member)</t>
        </is>
      </c>
      <c r="H12" s="14" t="inlineStr">
        <is>
          <t>§20.6</t>
        </is>
      </c>
      <c r="I12" s="15" t="inlineStr">
        <is>
          <t>ยังไม่ทดสอบ</t>
        </is>
      </c>
      <c r="J12" s="14" t="inlineStr"/>
      <c r="K12" s="15" t="inlineStr"/>
      <c r="L12" s="16" t="inlineStr"/>
      <c r="M12" s="15" t="inlineStr"/>
      <c r="N12" s="15" t="inlineStr"/>
      <c r="O12" s="15" t="inlineStr"/>
    </row>
    <row r="13">
      <c r="A13" s="14" t="inlineStr">
        <is>
          <t>BE-DEV-01</t>
        </is>
      </c>
      <c r="B13" s="14" t="inlineStr">
        <is>
          <t>BE-DEV</t>
        </is>
      </c>
      <c r="C13" s="14" t="inlineStr">
        <is>
          <t>device token (zyra-api · task 2.1)</t>
        </is>
      </c>
      <c r="D13" s="14" t="inlineStr">
        <is>
          <t>P0</t>
        </is>
      </c>
      <c r="E13" s="14" t="inlineStr">
        <is>
          <t>ลงทะเบียน token</t>
        </is>
      </c>
      <c r="F13" s="14" t="inlineStr">
        <is>
          <t>POST /api/user/devices {platform, fcm_token, app_version}</t>
        </is>
      </c>
      <c r="G13" s="14" t="inlineStr">
        <is>
          <t>บันทึกลง tb_user_device · ตอบ envelope 200</t>
        </is>
      </c>
      <c r="H13" s="14" t="inlineStr">
        <is>
          <t>task 2.1</t>
        </is>
      </c>
      <c r="I13" s="15" t="inlineStr">
        <is>
          <t>ยังไม่ทดสอบ</t>
        </is>
      </c>
      <c r="J13" s="14" t="inlineStr"/>
      <c r="K13" s="15" t="inlineStr"/>
      <c r="L13" s="16" t="inlineStr"/>
      <c r="M13" s="15" t="inlineStr"/>
      <c r="N13" s="15" t="inlineStr"/>
      <c r="O13" s="15" t="inlineStr"/>
    </row>
    <row r="14">
      <c r="A14" s="14" t="inlineStr">
        <is>
          <t>BE-DEV-02</t>
        </is>
      </c>
      <c r="B14" s="14" t="inlineStr">
        <is>
          <t>BE-DEV</t>
        </is>
      </c>
      <c r="C14" s="14" t="inlineStr">
        <is>
          <t>device token (zyra-api · task 2.1)</t>
        </is>
      </c>
      <c r="D14" s="14" t="inlineStr">
        <is>
          <t>P1</t>
        </is>
      </c>
      <c r="E14" s="14" t="inlineStr">
        <is>
          <t>token ซ้ำ</t>
        </is>
      </c>
      <c r="F14" s="14" t="inlineStr">
        <is>
          <t>ส่ง token เดิมซ้ำ</t>
        </is>
      </c>
      <c r="G14" s="14" t="inlineStr">
        <is>
          <t>ไม่สร้างแถวซ้ำ · อัปเดต last_seen_at</t>
        </is>
      </c>
      <c r="H14" s="14" t="inlineStr">
        <is>
          <t>task 2.1</t>
        </is>
      </c>
      <c r="I14" s="15" t="inlineStr">
        <is>
          <t>ยังไม่ทดสอบ</t>
        </is>
      </c>
      <c r="J14" s="14" t="inlineStr"/>
      <c r="K14" s="15" t="inlineStr"/>
      <c r="L14" s="16" t="inlineStr"/>
      <c r="M14" s="15" t="inlineStr"/>
      <c r="N14" s="15" t="inlineStr"/>
      <c r="O14" s="15" t="inlineStr"/>
    </row>
    <row r="15">
      <c r="A15" s="14" t="inlineStr">
        <is>
          <t>BE-DEV-03</t>
        </is>
      </c>
      <c r="B15" s="14" t="inlineStr">
        <is>
          <t>BE-DEV</t>
        </is>
      </c>
      <c r="C15" s="14" t="inlineStr">
        <is>
          <t>device token (zyra-api · task 2.1)</t>
        </is>
      </c>
      <c r="D15" s="14" t="inlineStr">
        <is>
          <t>P1</t>
        </is>
      </c>
      <c r="E15" s="14" t="inlineStr">
        <is>
          <t>token ย้าย user</t>
        </is>
      </c>
      <c r="F15" s="14" t="inlineStr">
        <is>
          <t>login user B บนเครื่องเดิม</t>
        </is>
      </c>
      <c r="G15" s="14" t="inlineStr">
        <is>
          <t>token ผูกกับ B ไม่ใช่ A อีก (A ไม่ได้ push บนเครื่องนี้)</t>
        </is>
      </c>
      <c r="H15" s="14" t="inlineStr">
        <is>
          <t>task 2.1</t>
        </is>
      </c>
      <c r="I15" s="15" t="inlineStr">
        <is>
          <t>ยังไม่ทดสอบ</t>
        </is>
      </c>
      <c r="J15" s="14" t="inlineStr"/>
      <c r="K15" s="15" t="inlineStr"/>
      <c r="L15" s="16" t="inlineStr"/>
      <c r="M15" s="15" t="inlineStr"/>
      <c r="N15" s="15" t="inlineStr"/>
      <c r="O15" s="15" t="inlineStr"/>
    </row>
    <row r="16">
      <c r="A16" s="14" t="inlineStr">
        <is>
          <t>BE-DEV-04</t>
        </is>
      </c>
      <c r="B16" s="14" t="inlineStr">
        <is>
          <t>BE-DEV</t>
        </is>
      </c>
      <c r="C16" s="14" t="inlineStr">
        <is>
          <t>device token (zyra-api · task 2.1)</t>
        </is>
      </c>
      <c r="D16" s="14" t="inlineStr">
        <is>
          <t>P0</t>
        </is>
      </c>
      <c r="E16" s="14" t="inlineStr">
        <is>
          <t>ลบ token</t>
        </is>
      </c>
      <c r="F16" s="14" t="inlineStr">
        <is>
          <t>DELETE /api/user/devices/{token} (logout)</t>
        </is>
      </c>
      <c r="G16" s="14" t="inlineStr">
        <is>
          <t>ลบแล้ว ไม่ส่ง push ไปเครื่องนี้</t>
        </is>
      </c>
      <c r="H16" s="14" t="inlineStr">
        <is>
          <t>task 2.1</t>
        </is>
      </c>
      <c r="I16" s="15" t="inlineStr">
        <is>
          <t>ยังไม่ทดสอบ</t>
        </is>
      </c>
      <c r="J16" s="14" t="inlineStr"/>
      <c r="K16" s="15" t="inlineStr"/>
      <c r="L16" s="16" t="inlineStr"/>
      <c r="M16" s="15" t="inlineStr"/>
      <c r="N16" s="15" t="inlineStr"/>
      <c r="O16" s="15" t="inlineStr"/>
    </row>
    <row r="17">
      <c r="A17" s="14" t="inlineStr">
        <is>
          <t>BE-DEV-05</t>
        </is>
      </c>
      <c r="B17" s="14" t="inlineStr">
        <is>
          <t>BE-DEV</t>
        </is>
      </c>
      <c r="C17" s="14" t="inlineStr">
        <is>
          <t>device token (zyra-api · task 2.1)</t>
        </is>
      </c>
      <c r="D17" s="14" t="inlineStr">
        <is>
          <t>P0</t>
        </is>
      </c>
      <c r="E17" s="14" t="inlineStr">
        <is>
          <t>สิทธิ์</t>
        </is>
      </c>
      <c r="F17" s="14" t="inlineStr">
        <is>
          <t>เรียกโดยไม่มี token / เรียก token ของคนอื่น</t>
        </is>
      </c>
      <c r="G17" s="14" t="inlineStr">
        <is>
          <t>401 / 403 · route อยู่ใต้ /api/user/* (UserGuard) ไม่ใช่ /api/admin/*</t>
        </is>
      </c>
      <c r="H17" s="14" t="inlineStr">
        <is>
          <t>rule 15</t>
        </is>
      </c>
      <c r="I17" s="15" t="inlineStr">
        <is>
          <t>ยังไม่ทดสอบ</t>
        </is>
      </c>
      <c r="J17" s="14" t="inlineStr"/>
      <c r="K17" s="15" t="inlineStr"/>
      <c r="L17" s="16" t="inlineStr"/>
      <c r="M17" s="15" t="inlineStr"/>
      <c r="N17" s="15" t="inlineStr"/>
      <c r="O17" s="15" t="inlineStr"/>
    </row>
    <row r="18">
      <c r="A18" s="14" t="inlineStr">
        <is>
          <t>BE-DEV-06</t>
        </is>
      </c>
      <c r="B18" s="14" t="inlineStr">
        <is>
          <t>BE-DEV</t>
        </is>
      </c>
      <c r="C18" s="14" t="inlineStr">
        <is>
          <t>device token (zyra-api · task 2.1)</t>
        </is>
      </c>
      <c r="D18" s="14" t="inlineStr">
        <is>
          <t>P1</t>
        </is>
      </c>
      <c r="E18" s="14" t="inlineStr">
        <is>
          <t>migration</t>
        </is>
      </c>
      <c r="F18" s="14" t="inlineStr">
        <is>
          <t>รัน migration บน dev / uat</t>
        </is>
      </c>
      <c r="G18" s="14" t="inlineStr">
        <is>
          <t>มี .down.sql คู่ · rollback ได้</t>
        </is>
      </c>
      <c r="H18" s="14" t="inlineStr">
        <is>
          <t>rule 06</t>
        </is>
      </c>
      <c r="I18" s="15" t="inlineStr">
        <is>
          <t>ยังไม่ทดสอบ</t>
        </is>
      </c>
      <c r="J18" s="14" t="inlineStr"/>
      <c r="K18" s="15" t="inlineStr"/>
      <c r="L18" s="16" t="inlineStr"/>
      <c r="M18" s="15" t="inlineStr"/>
      <c r="N18" s="15" t="inlineStr"/>
      <c r="O18" s="15" t="inlineStr"/>
    </row>
    <row r="19">
      <c r="A19" s="14" t="inlineStr">
        <is>
          <t>BE-PUSH-01</t>
        </is>
      </c>
      <c r="B19" s="14" t="inlineStr">
        <is>
          <t>BE-PUSH</t>
        </is>
      </c>
      <c r="C19" s="14" t="inlineStr">
        <is>
          <t>ส่ง push (zyra-notifications, zyra-ws · task 2.2–2.6)</t>
        </is>
      </c>
      <c r="D19" s="14" t="inlineStr">
        <is>
          <t>P0</t>
        </is>
      </c>
      <c r="E19" s="14" t="inlineStr">
        <is>
          <t>ส่งผ่าน FCM ทั้ง iOS และ Android</t>
        </is>
      </c>
      <c r="F19" s="14" t="inlineStr">
        <is>
          <t>trigger DM ถึง user ที่ offline</t>
        </is>
      </c>
      <c r="G19" s="14" t="inlineStr">
        <is>
          <t>FCM HTTP v1 ส่งถึงทั้ง APNs และ Android</t>
        </is>
      </c>
      <c r="H19" s="14" t="inlineStr">
        <is>
          <t>task 2.3</t>
        </is>
      </c>
      <c r="I19" s="15" t="inlineStr">
        <is>
          <t>ยังไม่ทดสอบ</t>
        </is>
      </c>
      <c r="J19" s="14" t="inlineStr"/>
      <c r="K19" s="15" t="inlineStr"/>
      <c r="L19" s="16" t="inlineStr"/>
      <c r="M19" s="15" t="inlineStr"/>
      <c r="N19" s="15" t="inlineStr"/>
      <c r="O19" s="15" t="inlineStr"/>
    </row>
    <row r="20">
      <c r="A20" s="14" t="inlineStr">
        <is>
          <t>BE-PUSH-02</t>
        </is>
      </c>
      <c r="B20" s="14" t="inlineStr">
        <is>
          <t>BE-PUSH</t>
        </is>
      </c>
      <c r="C20" s="14" t="inlineStr">
        <is>
          <t>ส่ง push (zyra-notifications, zyra-ws · task 2.2–2.6)</t>
        </is>
      </c>
      <c r="D20" s="14" t="inlineStr">
        <is>
          <t>P0</t>
        </is>
      </c>
      <c r="E20" s="14" t="inlineStr">
        <is>
          <t>ส่งเฉพาะคนที่ไม่ได้ต่อ WS</t>
        </is>
      </c>
      <c r="F20" s="14" t="inlineStr">
        <is>
          <t>ผู้รับเปิดแอปอยู่ (มี connection)</t>
        </is>
      </c>
      <c r="G20" s="14" t="inlineStr">
        <is>
          <t>ไม่ส่ง push (แอปแสดง banner เอง)</t>
        </is>
      </c>
      <c r="H20" s="14" t="inlineStr">
        <is>
          <t>task 2.4</t>
        </is>
      </c>
      <c r="I20" s="15" t="inlineStr">
        <is>
          <t>ยังไม่ทดสอบ</t>
        </is>
      </c>
      <c r="J20" s="14" t="inlineStr"/>
      <c r="K20" s="15" t="inlineStr"/>
      <c r="L20" s="16" t="inlineStr"/>
      <c r="M20" s="15" t="inlineStr"/>
      <c r="N20" s="15" t="inlineStr"/>
      <c r="O20" s="15" t="inlineStr"/>
    </row>
    <row r="21">
      <c r="A21" s="14" t="inlineStr">
        <is>
          <t>BE-PUSH-03</t>
        </is>
      </c>
      <c r="B21" s="14" t="inlineStr">
        <is>
          <t>BE-PUSH</t>
        </is>
      </c>
      <c r="C21" s="14" t="inlineStr">
        <is>
          <t>ส่ง push (zyra-notifications, zyra-ws · task 2.2–2.6)</t>
        </is>
      </c>
      <c r="D21" s="14" t="inlineStr">
        <is>
          <t>P0</t>
        </is>
      </c>
      <c r="E21" s="14" t="inlineStr">
        <is>
          <t>payload</t>
        </is>
      </c>
      <c r="F21" s="14" t="inlineStr">
        <is>
          <t>ตรวจ payload DM / mention</t>
        </is>
      </c>
      <c r="G21" s="14" t="inlineStr">
        <is>
          <t>มีข้อความจริง + ชื่อห้อง + ชื่อ workspace + type + id สำหรับเปิดห้อง</t>
        </is>
      </c>
      <c r="H21" s="14" t="inlineStr">
        <is>
          <t>§12.5 ข้อ 4</t>
        </is>
      </c>
      <c r="I21" s="15" t="inlineStr">
        <is>
          <t>ยังไม่ทดสอบ</t>
        </is>
      </c>
      <c r="J21" s="14" t="inlineStr"/>
      <c r="K21" s="15" t="inlineStr"/>
      <c r="L21" s="16" t="inlineStr"/>
      <c r="M21" s="15" t="inlineStr"/>
      <c r="N21" s="15" t="inlineStr"/>
      <c r="O21" s="15" t="inlineStr"/>
    </row>
    <row r="22">
      <c r="A22" s="14" t="inlineStr">
        <is>
          <t>BE-PUSH-04</t>
        </is>
      </c>
      <c r="B22" s="14" t="inlineStr">
        <is>
          <t>BE-PUSH</t>
        </is>
      </c>
      <c r="C22" s="14" t="inlineStr">
        <is>
          <t>ส่ง push (zyra-notifications, zyra-ws · task 2.2–2.6)</t>
        </is>
      </c>
      <c r="D22" s="14" t="inlineStr">
        <is>
          <t>P0</t>
        </is>
      </c>
      <c r="E22" s="14" t="inlineStr">
        <is>
          <t>เคารพสวิตช์ Push ต่อประเภท</t>
        </is>
      </c>
      <c r="F22" s="14" t="inlineStr">
        <is>
          <t>ผู้รับปิด Push ของ DM</t>
        </is>
      </c>
      <c r="G22" s="14" t="inlineStr">
        <is>
          <t>ไม่ส่ง push DM · ยังเก็บ notification ในแอป</t>
        </is>
      </c>
      <c r="H22" s="14" t="inlineStr">
        <is>
          <t>task 2.5</t>
        </is>
      </c>
      <c r="I22" s="15" t="inlineStr">
        <is>
          <t>ยังไม่ทดสอบ</t>
        </is>
      </c>
      <c r="J22" s="14" t="inlineStr"/>
      <c r="K22" s="15" t="inlineStr"/>
      <c r="L22" s="16" t="inlineStr"/>
      <c r="M22" s="15" t="inlineStr"/>
      <c r="N22" s="15" t="inlineStr"/>
      <c r="O22" s="15" t="inlineStr"/>
    </row>
    <row r="23">
      <c r="A23" s="14" t="inlineStr">
        <is>
          <t>BE-PUSH-05</t>
        </is>
      </c>
      <c r="B23" s="14" t="inlineStr">
        <is>
          <t>BE-PUSH</t>
        </is>
      </c>
      <c r="C23" s="14" t="inlineStr">
        <is>
          <t>ส่ง push (zyra-notifications, zyra-ws · task 2.2–2.6)</t>
        </is>
      </c>
      <c r="D23" s="14" t="inlineStr">
        <is>
          <t>P1</t>
        </is>
      </c>
      <c r="E23" s="14" t="inlineStr">
        <is>
          <t>ประเภทที่ไม่ส่ง</t>
        </is>
      </c>
      <c r="F23" s="14" t="inlineStr">
        <is>
          <t>trigger mention in thread / weather warning / weather emergency</t>
        </is>
      </c>
      <c r="G23" s="14" t="inlineStr">
        <is>
          <t>ไม่ส่ง push</t>
        </is>
      </c>
      <c r="H23" s="14" t="inlineStr">
        <is>
          <t>§12.5 ข้อ 3</t>
        </is>
      </c>
      <c r="I23" s="15" t="inlineStr">
        <is>
          <t>ยังไม่ทดสอบ</t>
        </is>
      </c>
      <c r="J23" s="14" t="inlineStr"/>
      <c r="K23" s="15" t="inlineStr"/>
      <c r="L23" s="16" t="inlineStr"/>
      <c r="M23" s="15" t="inlineStr"/>
      <c r="N23" s="15" t="inlineStr"/>
      <c r="O23" s="15" t="inlineStr"/>
    </row>
    <row r="24">
      <c r="A24" s="14" t="inlineStr">
        <is>
          <t>BE-PUSH-06</t>
        </is>
      </c>
      <c r="B24" s="14" t="inlineStr">
        <is>
          <t>BE-PUSH</t>
        </is>
      </c>
      <c r="C24" s="14" t="inlineStr">
        <is>
          <t>ส่ง push (zyra-notifications, zyra-ws · task 2.2–2.6)</t>
        </is>
      </c>
      <c r="D24" s="14" t="inlineStr">
        <is>
          <t>P1</t>
        </is>
      </c>
      <c r="E24" s="14" t="inlineStr">
        <is>
          <t>ประเภทที่ส่ง</t>
        </is>
      </c>
      <c r="F24" s="14" t="inlineStr">
        <is>
          <t>DM, mention, group message, knock, wave, mic/cam request, raised hand, screen share, pet, broadcast started</t>
        </is>
      </c>
      <c r="G24" s="14" t="inlineStr">
        <is>
          <t>ส่งครบตามตาราง</t>
        </is>
      </c>
      <c r="H24" s="14" t="inlineStr">
        <is>
          <t>TD §6.x</t>
        </is>
      </c>
      <c r="I24" s="15" t="inlineStr">
        <is>
          <t>ยังไม่ทดสอบ</t>
        </is>
      </c>
      <c r="J24" s="14" t="inlineStr"/>
      <c r="K24" s="15" t="inlineStr"/>
      <c r="L24" s="16" t="inlineStr"/>
      <c r="M24" s="15" t="inlineStr"/>
      <c r="N24" s="15" t="inlineStr"/>
      <c r="O24" s="15" t="inlineStr"/>
    </row>
    <row r="25">
      <c r="A25" s="14" t="inlineStr">
        <is>
          <t>BE-PUSH-07</t>
        </is>
      </c>
      <c r="B25" s="14" t="inlineStr">
        <is>
          <t>BE-PUSH</t>
        </is>
      </c>
      <c r="C25" s="14" t="inlineStr">
        <is>
          <t>ส่ง push (zyra-notifications, zyra-ws · task 2.2–2.6)</t>
        </is>
      </c>
      <c r="D25" s="14" t="inlineStr">
        <is>
          <t>P1</t>
        </is>
      </c>
      <c r="E25" s="14" t="inlineStr">
        <is>
          <t>token ตายแล้ว</t>
        </is>
      </c>
      <c r="F25" s="14" t="inlineStr">
        <is>
          <t>FCM ตอบ UNREGISTERED</t>
        </is>
      </c>
      <c r="G25" s="14" t="inlineStr">
        <is>
          <t>ลบ token ออกจาก tb_user_device</t>
        </is>
      </c>
      <c r="H25" s="14" t="inlineStr">
        <is>
          <t>task 2.3</t>
        </is>
      </c>
      <c r="I25" s="15" t="inlineStr">
        <is>
          <t>ยังไม่ทดสอบ</t>
        </is>
      </c>
      <c r="J25" s="14" t="inlineStr"/>
      <c r="K25" s="15" t="inlineStr"/>
      <c r="L25" s="16" t="inlineStr"/>
      <c r="M25" s="15" t="inlineStr"/>
      <c r="N25" s="15" t="inlineStr"/>
      <c r="O25" s="15" t="inlineStr"/>
    </row>
    <row r="26">
      <c r="A26" s="14" t="inlineStr">
        <is>
          <t>BE-PUSH-08</t>
        </is>
      </c>
      <c r="B26" s="14" t="inlineStr">
        <is>
          <t>BE-PUSH</t>
        </is>
      </c>
      <c r="C26" s="14" t="inlineStr">
        <is>
          <t>ส่ง push (zyra-notifications, zyra-ws · task 2.2–2.6)</t>
        </is>
      </c>
      <c r="D26" s="14" t="inlineStr">
        <is>
          <t>P1</t>
        </is>
      </c>
      <c r="E26" s="14" t="inlineStr">
        <is>
          <t>badge</t>
        </is>
      </c>
      <c r="F26" s="14" t="inlineStr">
        <is>
          <t>ส่ง push</t>
        </is>
      </c>
      <c r="G26" s="14" t="inlineStr">
        <is>
          <t>ค่า badge = แชทยังไม่อ่าน + notification ยังไม่อ่าน</t>
        </is>
      </c>
      <c r="H26" s="14" t="inlineStr">
        <is>
          <t>§12.5 ข้อ 10</t>
        </is>
      </c>
      <c r="I26" s="15" t="inlineStr">
        <is>
          <t>ยังไม่ทดสอบ</t>
        </is>
      </c>
      <c r="J26" s="14" t="inlineStr"/>
      <c r="K26" s="15" t="inlineStr"/>
      <c r="L26" s="16" t="inlineStr"/>
      <c r="M26" s="15" t="inlineStr"/>
      <c r="N26" s="15" t="inlineStr"/>
      <c r="O26" s="15" t="inlineStr"/>
    </row>
    <row r="27">
      <c r="A27" s="14" t="inlineStr">
        <is>
          <t>BE-PUSH-09</t>
        </is>
      </c>
      <c r="B27" s="14" t="inlineStr">
        <is>
          <t>BE-PUSH</t>
        </is>
      </c>
      <c r="C27" s="14" t="inlineStr">
        <is>
          <t>ส่ง push (zyra-notifications, zyra-ws · task 2.2–2.6)</t>
        </is>
      </c>
      <c r="D27" s="14" t="inlineStr">
        <is>
          <t>P1</t>
        </is>
      </c>
      <c r="E27" s="14" t="inlineStr">
        <is>
          <t>secret</t>
        </is>
      </c>
      <c r="F27" s="14" t="inlineStr">
        <is>
          <t>ตรวจ config</t>
        </is>
      </c>
      <c r="G27" s="14" t="inlineStr">
        <is>
          <t>FCM_SERVICE_ACCOUNT_JSON มาจาก secret (ESO) · ไม่ hardcode · ไม่ log token / PII</t>
        </is>
      </c>
      <c r="H27" s="14" t="inlineStr">
        <is>
          <t>rule 05</t>
        </is>
      </c>
      <c r="I27" s="15" t="inlineStr">
        <is>
          <t>ยังไม่ทดสอบ</t>
        </is>
      </c>
      <c r="J27" s="14" t="inlineStr"/>
      <c r="K27" s="15" t="inlineStr"/>
      <c r="L27" s="16" t="inlineStr"/>
      <c r="M27" s="15" t="inlineStr"/>
      <c r="N27" s="15" t="inlineStr"/>
      <c r="O27" s="15" t="inlineStr"/>
    </row>
    <row r="28">
      <c r="A28" s="14" t="inlineStr">
        <is>
          <t>BE-PUSH-10</t>
        </is>
      </c>
      <c r="B28" s="14" t="inlineStr">
        <is>
          <t>BE-PUSH</t>
        </is>
      </c>
      <c r="C28" s="14" t="inlineStr">
        <is>
          <t>ส่ง push (zyra-notifications, zyra-ws · task 2.2–2.6)</t>
        </is>
      </c>
      <c r="D28" s="14" t="inlineStr">
        <is>
          <t>-</t>
        </is>
      </c>
      <c r="E28" s="14" t="inlineStr">
        <is>
          <t>DND ปิด push ไหม</t>
        </is>
      </c>
      <c r="F28" s="14" t="inlineStr">
        <is>
          <t>ตั้ง Do not disturb แล้วให้คนส่ง DM</t>
        </is>
      </c>
      <c r="G28" s="14" t="inlineStr">
        <is>
          <t>ยังไม่มีมติ</t>
        </is>
      </c>
      <c r="H28" s="14" t="inlineStr">
        <is>
          <t>—</t>
        </is>
      </c>
      <c r="I28" s="15" t="inlineStr">
        <is>
          <t>Blocked</t>
        </is>
      </c>
      <c r="J28" s="14" t="inlineStr">
        <is>
          <t>รอมติ</t>
        </is>
      </c>
      <c r="K28" s="15" t="inlineStr"/>
      <c r="L28" s="16" t="inlineStr"/>
      <c r="M28" s="15" t="inlineStr"/>
      <c r="N28" s="15" t="inlineStr"/>
      <c r="O28" s="15" t="inlineStr"/>
    </row>
    <row r="29">
      <c r="A29" s="14" t="inlineStr">
        <is>
          <t>BE-WS-01</t>
        </is>
      </c>
      <c r="B29" s="14" t="inlineStr">
        <is>
          <t>BE-WS</t>
        </is>
      </c>
      <c r="C29" s="14" t="inlineStr">
        <is>
          <t>WebSocket โหมด Lite / meeting / reconnect (zyra-ws · task 0.16, 0.19, 0.48)</t>
        </is>
      </c>
      <c r="D29" s="14" t="inlineStr">
        <is>
          <t>P0</t>
        </is>
      </c>
      <c r="E29" s="14" t="inlineStr">
        <is>
          <t>join แบบ ghost</t>
        </is>
      </c>
      <c r="F29" s="14" t="inlineStr">
        <is>
          <t>join ด้วย client_mode: "lite"</t>
        </is>
      </c>
      <c r="G29" s="14" t="inlineStr">
        <is>
          <t>presence online · ไม่มีตำแหน่ง / ที่นั่ง · ไม่ broadcast ตำแหน่ง</t>
        </is>
      </c>
      <c r="H29" s="14" t="inlineStr">
        <is>
          <t>TD §16.2</t>
        </is>
      </c>
      <c r="I29" s="15" t="inlineStr">
        <is>
          <t>ยังไม่ทดสอบ</t>
        </is>
      </c>
      <c r="J29" s="14" t="inlineStr"/>
      <c r="K29" s="15" t="inlineStr"/>
      <c r="L29" s="16" t="inlineStr"/>
      <c r="M29" s="15" t="inlineStr"/>
      <c r="N29" s="15" t="inlineStr"/>
      <c r="O29" s="15" t="inlineStr"/>
    </row>
    <row r="30">
      <c r="A30" s="14" t="inlineStr">
        <is>
          <t>BE-WS-02</t>
        </is>
      </c>
      <c r="B30" s="14" t="inlineStr">
        <is>
          <t>BE-WS</t>
        </is>
      </c>
      <c r="C30" s="14" t="inlineStr">
        <is>
          <t>WebSocket โหมด Lite / meeting / reconnect (zyra-ws · task 0.16, 0.19, 0.48)</t>
        </is>
      </c>
      <c r="D30" s="14" t="inlineStr">
        <is>
          <t>P0</t>
        </is>
      </c>
      <c r="E30" s="14" t="inlineStr">
        <is>
          <t>ghost ส่ง move / input</t>
        </is>
      </c>
      <c r="F30" s="14" t="inlineStr">
        <is>
          <t>ส่ง move จาก lite client</t>
        </is>
      </c>
      <c r="G30" s="14" t="inlineStr">
        <is>
          <t>server ปฏิเสธ</t>
        </is>
      </c>
      <c r="H30" s="14" t="inlineStr">
        <is>
          <t>TD §16.2</t>
        </is>
      </c>
      <c r="I30" s="15" t="inlineStr">
        <is>
          <t>ยังไม่ทดสอบ</t>
        </is>
      </c>
      <c r="J30" s="14" t="inlineStr"/>
      <c r="K30" s="15" t="inlineStr"/>
      <c r="L30" s="16" t="inlineStr"/>
      <c r="M30" s="15" t="inlineStr"/>
      <c r="N30" s="15" t="inlineStr"/>
      <c r="O30" s="15" t="inlineStr"/>
    </row>
    <row r="31">
      <c r="A31" s="14" t="inlineStr">
        <is>
          <t>BE-WS-03</t>
        </is>
      </c>
      <c r="B31" s="14" t="inlineStr">
        <is>
          <t>BE-WS</t>
        </is>
      </c>
      <c r="C31" s="14" t="inlineStr">
        <is>
          <t>WebSocket โหมด Lite / meeting / reconnect (zyra-ws · task 0.16, 0.19, 0.48)</t>
        </is>
      </c>
      <c r="D31" s="14" t="inlineStr">
        <is>
          <t>P0</t>
        </is>
      </c>
      <c r="E31" s="14" t="inlineStr">
        <is>
          <t>เข้า meeting ด้วย id</t>
        </is>
      </c>
      <c r="F31" s="14" t="inlineStr">
        <is>
          <t>lite client ขอเข้า zone/meeting ด้วย id</t>
        </is>
      </c>
      <c r="G31" s="14" t="inlineStr">
        <is>
          <t>ได้เข้า media room · คนอื่นเห็นเป็น tile</t>
        </is>
      </c>
      <c r="H31" s="14" t="inlineStr">
        <is>
          <t>TD §16.2</t>
        </is>
      </c>
      <c r="I31" s="15" t="inlineStr">
        <is>
          <t>ยังไม่ทดสอบ</t>
        </is>
      </c>
      <c r="J31" s="14" t="inlineStr"/>
      <c r="K31" s="15" t="inlineStr"/>
      <c r="L31" s="16" t="inlineStr"/>
      <c r="M31" s="15" t="inlineStr"/>
      <c r="N31" s="15" t="inlineStr"/>
      <c r="O31" s="15" t="inlineStr"/>
    </row>
    <row r="32">
      <c r="A32" s="14" t="inlineStr">
        <is>
          <t>BE-WS-04</t>
        </is>
      </c>
      <c r="B32" s="14" t="inlineStr">
        <is>
          <t>BE-WS</t>
        </is>
      </c>
      <c r="C32" s="14" t="inlineStr">
        <is>
          <t>WebSocket โหมด Lite / meeting / reconnect (zyra-ws · task 0.16, 0.19, 0.48)</t>
        </is>
      </c>
      <c r="D32" s="14" t="inlineStr">
        <is>
          <t>P1</t>
        </is>
      </c>
      <c r="E32" s="14" t="inlineStr">
        <is>
          <t>ghost บนแมพของคนอื่น</t>
        </is>
      </c>
      <c r="F32" s="14" t="inlineStr">
        <is>
          <t>lite เข้า meeting</t>
        </is>
      </c>
      <c r="G32" s="14" t="inlineStr">
        <is>
          <t>broadcast ghost_join_zone · client แมพแสดง avatar เดินจาก spawn ไปห้อง · ออก meeting แล้ว avatar หาย</t>
        </is>
      </c>
      <c r="H32" s="14" t="inlineStr">
        <is>
          <t>TD §16.2</t>
        </is>
      </c>
      <c r="I32" s="15" t="inlineStr">
        <is>
          <t>ยังไม่ทดสอบ</t>
        </is>
      </c>
      <c r="J32" s="14" t="inlineStr"/>
      <c r="K32" s="15" t="inlineStr"/>
      <c r="L32" s="16" t="inlineStr"/>
      <c r="M32" s="15" t="inlineStr"/>
      <c r="N32" s="15" t="inlineStr"/>
      <c r="O32" s="15" t="inlineStr"/>
    </row>
    <row r="33">
      <c r="A33" s="14" t="inlineStr">
        <is>
          <t>BE-WS-05</t>
        </is>
      </c>
      <c r="B33" s="14" t="inlineStr">
        <is>
          <t>BE-WS</t>
        </is>
      </c>
      <c r="C33" s="14" t="inlineStr">
        <is>
          <t>WebSocket โหมด Lite / meeting / reconnect (zyra-ws · task 0.16, 0.19, 0.48)</t>
        </is>
      </c>
      <c r="D33" s="14" t="inlineStr">
        <is>
          <t>P0</t>
        </is>
      </c>
      <c r="E33" s="14" t="inlineStr">
        <is>
          <t>ขอเข้าห้องล็อก (knock เดิม)</t>
        </is>
      </c>
      <c r="F33" s="14" t="inlineStr">
        <is>
          <t>lite client ส่ง knock พร้อม zone_id</t>
        </is>
      </c>
      <c r="G33" s="14" t="inlineStr">
        <is>
          <t>ไม่เช็คตำแหน่ง · ทุกคนได้ knock_request · คนในห้องคนแรกที่ส่ง knock_decision มีผล → ผู้ขอได้ knock_granted / knock_denied · ทุกเครื่องได้ knock_decided · กดพร้อมกันไม่เกิดผลซ้ำ · ขอซ้ำติด cooldown</t>
        </is>
      </c>
      <c r="H33" s="14" t="inlineStr">
        <is>
          <t>room.go:2504 · §8.8.4</t>
        </is>
      </c>
      <c r="I33" s="15" t="inlineStr">
        <is>
          <t>ยังไม่ทดสอบ</t>
        </is>
      </c>
      <c r="J33" s="14" t="inlineStr"/>
      <c r="K33" s="15" t="inlineStr"/>
      <c r="L33" s="16" t="inlineStr"/>
      <c r="M33" s="15" t="inlineStr"/>
      <c r="N33" s="15" t="inlineStr"/>
      <c r="O33" s="15" t="inlineStr"/>
    </row>
    <row r="34">
      <c r="A34" s="14" t="inlineStr">
        <is>
          <t>BE-WS-06</t>
        </is>
      </c>
      <c r="B34" s="14" t="inlineStr">
        <is>
          <t>BE-WS</t>
        </is>
      </c>
      <c r="C34" s="14" t="inlineStr">
        <is>
          <t>WebSocket โหมด Lite / meeting / reconnect (zyra-ws · task 0.16, 0.19, 0.48)</t>
        </is>
      </c>
      <c r="D34" s="14" t="inlineStr">
        <is>
          <t>P0</t>
        </is>
      </c>
      <c r="E34" s="14" t="inlineStr">
        <is>
          <t>grace period ≥ 31 วิ</t>
        </is>
      </c>
      <c r="F34" s="14" t="inlineStr">
        <is>
          <t>ตัด connection แล้วต่อใหม่ภายใน 31 วิ</t>
        </is>
      </c>
      <c r="G34" s="14" t="inlineStr">
        <is>
          <t>presence / ห้อง meeting / ที่นั่งยังอยู่ · เกิน grace แล้วถูกนำออก</t>
        </is>
      </c>
      <c r="H34" s="14" t="inlineStr">
        <is>
          <t>TD §11.x</t>
        </is>
      </c>
      <c r="I34" s="15" t="inlineStr">
        <is>
          <t>ยังไม่ทดสอบ</t>
        </is>
      </c>
      <c r="J34" s="14" t="inlineStr"/>
      <c r="K34" s="15" t="inlineStr"/>
      <c r="L34" s="16" t="inlineStr"/>
      <c r="M34" s="15" t="inlineStr"/>
      <c r="N34" s="15" t="inlineStr"/>
      <c r="O34" s="15" t="inlineStr"/>
    </row>
    <row r="35">
      <c r="A35" s="14" t="inlineStr">
        <is>
          <t>BE-WS-07</t>
        </is>
      </c>
      <c r="B35" s="14" t="inlineStr">
        <is>
          <t>BE-WS</t>
        </is>
      </c>
      <c r="C35" s="14" t="inlineStr">
        <is>
          <t>WebSocket โหมด Lite / meeting / reconnect (zyra-ws · task 0.16, 0.19, 0.48)</t>
        </is>
      </c>
      <c r="D35" s="14" t="inlineStr">
        <is>
          <t>P0</t>
        </is>
      </c>
      <c r="E35" s="14" t="inlineStr">
        <is>
          <t>backoff ฝั่ง client</t>
        </is>
      </c>
      <c r="F35" s="14" t="inlineStr">
        <is>
          <t>ดูจังหวะ reconnect</t>
        </is>
      </c>
      <c r="G35" s="14" t="inlineStr">
        <is>
          <t>1, 2, 4, 8, 16 วิ รวม 5 ครั้ง</t>
        </is>
      </c>
      <c r="H35" s="14" t="inlineStr">
        <is>
          <t>workspace-ws.ts:82-83</t>
        </is>
      </c>
      <c r="I35" s="15" t="inlineStr">
        <is>
          <t>ยังไม่ทดสอบ</t>
        </is>
      </c>
      <c r="J35" s="14" t="inlineStr"/>
      <c r="K35" s="15" t="inlineStr"/>
      <c r="L35" s="16" t="inlineStr"/>
      <c r="M35" s="15" t="inlineStr"/>
      <c r="N35" s="15" t="inlineStr"/>
      <c r="O35" s="15" t="inlineStr"/>
    </row>
    <row r="36">
      <c r="A36" s="14" t="inlineStr">
        <is>
          <t>BE-WS-08</t>
        </is>
      </c>
      <c r="B36" s="14" t="inlineStr">
        <is>
          <t>BE-WS</t>
        </is>
      </c>
      <c r="C36" s="14" t="inlineStr">
        <is>
          <t>WebSocket โหมด Lite / meeting / reconnect (zyra-ws · task 0.16, 0.19, 0.48)</t>
        </is>
      </c>
      <c r="D36" s="14" t="inlineStr">
        <is>
          <t>P1</t>
        </is>
      </c>
      <c r="E36" s="14" t="inlineStr">
        <is>
          <t>สถานะ dnd</t>
        </is>
      </c>
      <c r="F36" s="14" t="inlineStr">
        <is>
          <t>ตั้ง dnd</t>
        </is>
      </c>
      <c r="G36" s="14" t="inlineStr">
        <is>
          <t>server รับค่า dnd · ถือว่าออกจาก meeting / circle เหมือน busy / away</t>
        </is>
      </c>
      <c r="H36" s="14" t="inlineStr">
        <is>
          <t>lib/presence-status.ts</t>
        </is>
      </c>
      <c r="I36" s="15" t="inlineStr">
        <is>
          <t>ยังไม่ทดสอบ</t>
        </is>
      </c>
      <c r="J36" s="14" t="inlineStr"/>
      <c r="K36" s="15" t="inlineStr"/>
      <c r="L36" s="16" t="inlineStr"/>
      <c r="M36" s="15" t="inlineStr"/>
      <c r="N36" s="15" t="inlineStr"/>
      <c r="O36" s="15" t="inlineStr"/>
    </row>
    <row r="37">
      <c r="A37" s="14" t="inlineStr">
        <is>
          <t>BE-WS-09</t>
        </is>
      </c>
      <c r="B37" s="14" t="inlineStr">
        <is>
          <t>BE-WS</t>
        </is>
      </c>
      <c r="C37" s="14" t="inlineStr">
        <is>
          <t>WebSocket โหมด Lite / meeting / reconnect (zyra-ws · task 0.16, 0.19, 0.48)</t>
        </is>
      </c>
      <c r="D37" s="14" t="inlineStr">
        <is>
          <t>P1</t>
        </is>
      </c>
      <c r="E37" s="14" t="inlineStr">
        <is>
          <t>Spotlight จาก Lite</t>
        </is>
      </c>
      <c r="F37" s="14" t="inlineStr">
        <is>
          <t>lite client ส่ง ws:spotlight:start</t>
        </is>
      </c>
      <c r="G37" s="14" t="inlineStr">
        <is>
          <t>เริ่มได้โดยไม่ตรวจตำแหน่ง · ใช้ floor แรก + marker แรก · speaker set มีผู้เริ่ม</t>
        </is>
      </c>
      <c r="H37" s="14" t="inlineStr">
        <is>
          <t>task 0.48</t>
        </is>
      </c>
      <c r="I37" s="15" t="inlineStr">
        <is>
          <t>ยังไม่ทดสอบ</t>
        </is>
      </c>
      <c r="J37" s="14" t="inlineStr"/>
      <c r="K37" s="15" t="inlineStr"/>
      <c r="L37" s="16" t="inlineStr"/>
      <c r="M37" s="15" t="inlineStr"/>
      <c r="N37" s="15" t="inlineStr"/>
      <c r="O37" s="15" t="inlineStr"/>
    </row>
    <row r="38">
      <c r="A38" s="14" t="inlineStr">
        <is>
          <t>BE-WS-10</t>
        </is>
      </c>
      <c r="B38" s="14" t="inlineStr">
        <is>
          <t>BE-WS</t>
        </is>
      </c>
      <c r="C38" s="14" t="inlineStr">
        <is>
          <t>WebSocket โหมด Lite / meeting / reconnect (zyra-ws · task 0.16, 0.19, 0.48)</t>
        </is>
      </c>
      <c r="D38" s="14" t="inlineStr">
        <is>
          <t>P1</t>
        </is>
      </c>
      <c r="E38" s="14" t="inlineStr">
        <is>
          <t>Spotlight จาก Spatial / desktop</t>
        </is>
      </c>
      <c r="F38" s="14" t="inlineStr">
        <is>
          <t>ส่ง start ตอนไม่ได้ยืนบน marker</t>
        </is>
      </c>
      <c r="G38" s="14" t="inlineStr">
        <is>
          <t>ยังถูกปฏิเสธเหมือนเดิม</t>
        </is>
      </c>
      <c r="H38" s="14" t="inlineStr">
        <is>
          <t>task 0.48</t>
        </is>
      </c>
      <c r="I38" s="15" t="inlineStr">
        <is>
          <t>ยังไม่ทดสอบ</t>
        </is>
      </c>
      <c r="J38" s="14" t="inlineStr"/>
      <c r="K38" s="15" t="inlineStr"/>
      <c r="L38" s="16" t="inlineStr"/>
      <c r="M38" s="15" t="inlineStr"/>
      <c r="N38" s="15" t="inlineStr"/>
      <c r="O38" s="15" t="inlineStr"/>
    </row>
    <row r="39">
      <c r="A39" s="14" t="inlineStr">
        <is>
          <t>BE-WS-11</t>
        </is>
      </c>
      <c r="B39" s="14" t="inlineStr">
        <is>
          <t>BE-WS</t>
        </is>
      </c>
      <c r="C39" s="14" t="inlineStr">
        <is>
          <t>WebSocket โหมด Lite / meeting / reconnect (zyra-ws · task 0.16, 0.19, 0.48)</t>
        </is>
      </c>
      <c r="D39" s="14" t="inlineStr">
        <is>
          <t>P1</t>
        </is>
      </c>
      <c r="E39" s="14" t="inlineStr">
        <is>
          <t>Spotlight ห้ามตามสถานะ</t>
        </is>
      </c>
      <c r="F39" s="14" t="inlineStr">
        <is>
          <t>ผู้เริ่มเป็น busy / away / dnd</t>
        </is>
      </c>
      <c r="G39" s="14" t="inlineStr">
        <is>
          <t>ปฏิเสธการเริ่ม</t>
        </is>
      </c>
      <c r="H39" s="14" t="inlineStr">
        <is>
          <t>§18.7 ข้อ 13</t>
        </is>
      </c>
      <c r="I39" s="15" t="inlineStr">
        <is>
          <t>ยังไม่ทดสอบ</t>
        </is>
      </c>
      <c r="J39" s="14" t="inlineStr"/>
      <c r="K39" s="15" t="inlineStr"/>
      <c r="L39" s="16" t="inlineStr"/>
      <c r="M39" s="15" t="inlineStr"/>
      <c r="N39" s="15" t="inlineStr"/>
      <c r="O39" s="15" t="inlineStr"/>
    </row>
    <row r="40">
      <c r="A40" s="14" t="inlineStr">
        <is>
          <t>BE-WS-12</t>
        </is>
      </c>
      <c r="B40" s="14" t="inlineStr">
        <is>
          <t>BE-WS</t>
        </is>
      </c>
      <c r="C40" s="14" t="inlineStr">
        <is>
          <t>WebSocket โหมด Lite / meeting / reconnect (zyra-ws · task 0.16, 0.19, 0.48)</t>
        </is>
      </c>
      <c r="D40" s="14" t="inlineStr">
        <is>
          <t>P1</t>
        </is>
      </c>
      <c r="E40" s="14" t="inlineStr">
        <is>
          <t>Spotlight กับ meeting</t>
        </is>
      </c>
      <c r="F40" s="14" t="inlineStr">
        <is>
          <t>สมาชิก meeting คนหนึ่งส่ง ws:spotlight:meetingJoin แล้วอีกคนส่ง meetingLeave</t>
        </is>
      </c>
      <c r="G40" s="14" t="inlineStr">
        <is>
          <t>accepted_meeting_ids มีห้องนั้นหลัง join (ทั้งห้องเห็น spotlight) · หลัง leave ห้องหายจากรายการ · ส่งซ้ำไม่ error</t>
        </is>
      </c>
      <c r="H40" s="14" t="inlineStr">
        <is>
          <t>§18.9 ข้อ 3</t>
        </is>
      </c>
      <c r="I40" s="15" t="inlineStr">
        <is>
          <t>ยังไม่ทดสอบ</t>
        </is>
      </c>
      <c r="J40" s="14" t="inlineStr"/>
      <c r="K40" s="15" t="inlineStr"/>
      <c r="L40" s="16" t="inlineStr"/>
      <c r="M40" s="15" t="inlineStr"/>
      <c r="N40" s="15" t="inlineStr"/>
      <c r="O40" s="15" t="inlineStr"/>
    </row>
    <row r="41">
      <c r="A41" s="14" t="inlineStr">
        <is>
          <t>BE-WS-13</t>
        </is>
      </c>
      <c r="B41" s="14" t="inlineStr">
        <is>
          <t>BE-WS</t>
        </is>
      </c>
      <c r="C41" s="14" t="inlineStr">
        <is>
          <t>WebSocket โหมด Lite / meeting / reconnect (zyra-ws · task 0.16, 0.19, 0.48)</t>
        </is>
      </c>
      <c r="D41" s="14" t="inlineStr">
        <is>
          <t>P1</t>
        </is>
      </c>
      <c r="E41" s="14" t="inlineStr">
        <is>
          <t>เข้า Circle จาก Lite</t>
        </is>
      </c>
      <c r="F41" s="14" t="inlineStr">
        <is>
          <t>lite client ขอเข้า Circle ด้วย id</t>
        </is>
      </c>
      <c r="G41" s="14" t="inlineStr">
        <is>
          <t>ได้เข้า Circle · คนอื่นเห็น ghost เดินจาก spawn ไปที่ Circle เหมือน meeting</t>
        </is>
      </c>
      <c r="H41" s="14" t="inlineStr">
        <is>
          <t>§22.2 · task 0.59</t>
        </is>
      </c>
      <c r="I41" s="15" t="inlineStr">
        <is>
          <t>ยังไม่ทดสอบ</t>
        </is>
      </c>
      <c r="J41" s="14" t="inlineStr"/>
      <c r="K41" s="15" t="inlineStr"/>
      <c r="L41" s="16" t="inlineStr"/>
      <c r="M41" s="15" t="inlineStr"/>
      <c r="N41" s="15" t="inlineStr"/>
      <c r="O41" s="15" t="inlineStr"/>
    </row>
    <row r="42">
      <c r="A42" s="14" t="inlineStr">
        <is>
          <t>BE-WS-14</t>
        </is>
      </c>
      <c r="B42" s="14" t="inlineStr">
        <is>
          <t>BE-WS</t>
        </is>
      </c>
      <c r="C42" s="14" t="inlineStr">
        <is>
          <t>WebSocket โหมด Lite / meeting / reconnect (zyra-ws · task 0.16, 0.19, 0.48)</t>
        </is>
      </c>
      <c r="D42" s="14" t="inlineStr">
        <is>
          <t>P1</t>
        </is>
      </c>
      <c r="E42" s="14" t="inlineStr">
        <is>
          <t>ปิดไมค์คนอื่น</t>
        </is>
      </c>
      <c r="F42" s="14" t="inlineStr">
        <is>
          <t>host และคนที่ไม่ใช่ host ส่ง force mute ผ่าน ws:media:request</t>
        </is>
      </c>
      <c r="G42" s="14" t="inlineStr">
        <is>
          <t>host ทำได้ · คนอื่นถูกปฏิเสธ · ไม่มีคำสั่งเปิดไมค์ให้คนอื่น</t>
        </is>
      </c>
      <c r="H42" s="14" t="inlineStr">
        <is>
          <t>audio_test.go ForceMute_OwnerGated · §8.8.2</t>
        </is>
      </c>
      <c r="I42" s="15" t="inlineStr">
        <is>
          <t>ยังไม่ทดสอบ</t>
        </is>
      </c>
      <c r="J42" s="14" t="inlineStr"/>
      <c r="K42" s="15" t="inlineStr"/>
      <c r="L42" s="16" t="inlineStr"/>
      <c r="M42" s="15" t="inlineStr"/>
      <c r="N42" s="15" t="inlineStr"/>
      <c r="O42" s="15" t="inlineStr"/>
    </row>
    <row r="43">
      <c r="A43" s="14" t="inlineStr">
        <is>
          <t>BE-WS-15</t>
        </is>
      </c>
      <c r="B43" s="14" t="inlineStr">
        <is>
          <t>BE-WS</t>
        </is>
      </c>
      <c r="C43" s="14" t="inlineStr">
        <is>
          <t>WebSocket โหมด Lite / meeting / reconnect (zyra-ws · task 0.16, 0.19, 0.48)</t>
        </is>
      </c>
      <c r="D43" s="14" t="inlineStr">
        <is>
          <t>P1</t>
        </is>
      </c>
      <c r="E43" s="14" t="inlineStr">
        <is>
          <t>Spotlight เต็ม</t>
        </is>
      </c>
      <c r="F43" s="14" t="inlineStr">
        <is>
          <t>lite client ส่ง ws:spotlight:start ตอนจุดแรกมีคนพูด · แล้วตอนทุกจุดมีคนพูด</t>
        </is>
      </c>
      <c r="G43" s="14" t="inlineStr">
        <is>
          <t>ได้จุดที่ว่างจุดแรก · ทุกจุดเต็ม → ปฏิเสธด้วย error เฉพาะ</t>
        </is>
      </c>
      <c r="H43" s="14" t="inlineStr">
        <is>
          <t>task 0.54</t>
        </is>
      </c>
      <c r="I43" s="15" t="inlineStr">
        <is>
          <t>ยังไม่ทดสอบ</t>
        </is>
      </c>
      <c r="J43" s="14" t="inlineStr"/>
      <c r="K43" s="15" t="inlineStr"/>
      <c r="L43" s="16" t="inlineStr"/>
      <c r="M43" s="15" t="inlineStr"/>
      <c r="N43" s="15" t="inlineStr"/>
      <c r="O43" s="15" t="inlineStr"/>
    </row>
    <row r="44">
      <c r="A44" s="14" t="inlineStr">
        <is>
          <t>BE-CHAT-01</t>
        </is>
      </c>
      <c r="B44" s="14" t="inlineStr">
        <is>
          <t>BE-CHAT</t>
        </is>
      </c>
      <c r="C44" s="14" t="inlineStr">
        <is>
          <t>แชท (zyra-api, zyra-ws · task 0.25, 0.27, 0.37)</t>
        </is>
      </c>
      <c r="D44" s="14" t="inlineStr">
        <is>
          <t>P0</t>
        </is>
      </c>
      <c r="E44" s="14" t="inlineStr">
        <is>
          <t>ส่งซ้ำไม่เกิดข้อความซ้ำ</t>
        </is>
      </c>
      <c r="F44" s="14" t="inlineStr">
        <is>
          <t>client ส่งข้อความเดิมซ้ำ (retry 5 ครั้ง) ด้วย client message id เดิม</t>
        </is>
      </c>
      <c r="G44" s="14" t="inlineStr">
        <is>
          <t>เก็บแค่ 1 ข้อความ · ทุก retry ได้ผลลัพธ์เดียวกัน</t>
        </is>
      </c>
      <c r="H44" s="14" t="inlineStr">
        <is>
          <t>task 0.37</t>
        </is>
      </c>
      <c r="I44" s="15" t="inlineStr">
        <is>
          <t>ยังไม่ทดสอบ</t>
        </is>
      </c>
      <c r="J44" s="14" t="inlineStr"/>
      <c r="K44" s="15" t="inlineStr"/>
      <c r="L44" s="16" t="inlineStr"/>
      <c r="M44" s="15" t="inlineStr"/>
      <c r="N44" s="15" t="inlineStr"/>
      <c r="O44" s="15" t="inlineStr"/>
    </row>
    <row r="45">
      <c r="A45" s="14" t="inlineStr">
        <is>
          <t>BE-CHAT-02</t>
        </is>
      </c>
      <c r="B45" s="14" t="inlineStr">
        <is>
          <t>BE-CHAT</t>
        </is>
      </c>
      <c r="C45" s="14" t="inlineStr">
        <is>
          <t>แชท (zyra-api, zyra-ws · task 0.25, 0.27, 0.37)</t>
        </is>
      </c>
      <c r="D45" s="14" t="inlineStr">
        <is>
          <t>P1</t>
        </is>
      </c>
      <c r="E45" s="14" t="inlineStr">
        <is>
          <t>ข้อความเสียง</t>
        </is>
      </c>
      <c r="F45" s="14" t="inlineStr">
        <is>
          <t>upload ไฟล์เสียง</t>
        </is>
      </c>
      <c r="G45" s="14" t="inlineStr">
        <is>
          <t>เก็บใน R2 ผ่าน storage.S3Client (ไม่เก็บบน disk) · บันทึก URL · จำกัดขนาด / ความยาว · content-type ถูก</t>
        </is>
      </c>
      <c r="H45" s="14" t="inlineStr">
        <is>
          <t>task 0.25, rule 11</t>
        </is>
      </c>
      <c r="I45" s="15" t="inlineStr">
        <is>
          <t>ยังไม่ทดสอบ</t>
        </is>
      </c>
      <c r="J45" s="14" t="inlineStr"/>
      <c r="K45" s="15" t="inlineStr"/>
      <c r="L45" s="16" t="inlineStr"/>
      <c r="M45" s="15" t="inlineStr"/>
      <c r="N45" s="15" t="inlineStr"/>
      <c r="O45" s="15" t="inlineStr"/>
    </row>
    <row r="46">
      <c r="A46" s="14" t="inlineStr">
        <is>
          <t>BE-CHAT-03</t>
        </is>
      </c>
      <c r="B46" s="14" t="inlineStr">
        <is>
          <t>BE-CHAT</t>
        </is>
      </c>
      <c r="C46" s="14" t="inlineStr">
        <is>
          <t>แชท (zyra-api, zyra-ws · task 0.25, 0.27, 0.37)</t>
        </is>
      </c>
      <c r="D46" s="14" t="inlineStr">
        <is>
          <t>P1</t>
        </is>
      </c>
      <c r="E46" s="14" t="inlineStr">
        <is>
          <t>read receipt DM</t>
        </is>
      </c>
      <c r="F46" s="14" t="inlineStr">
        <is>
          <t>อีกฝั่งอ่าน DM</t>
        </is>
      </c>
      <c r="G46" s="14" t="inlineStr">
        <is>
          <t>ส่ง read state ให้ผู้ส่ง (✓✓)</t>
        </is>
      </c>
      <c r="H46" s="14" t="inlineStr">
        <is>
          <t>task 0.27</t>
        </is>
      </c>
      <c r="I46" s="15" t="inlineStr">
        <is>
          <t>ยังไม่ทดสอบ</t>
        </is>
      </c>
      <c r="J46" s="14" t="inlineStr"/>
      <c r="K46" s="15" t="inlineStr"/>
      <c r="L46" s="16" t="inlineStr"/>
      <c r="M46" s="15" t="inlineStr"/>
      <c r="N46" s="15" t="inlineStr"/>
      <c r="O46" s="15" t="inlineStr"/>
    </row>
    <row r="47">
      <c r="A47" s="14" t="inlineStr">
        <is>
          <t>BE-CHAT-04</t>
        </is>
      </c>
      <c r="B47" s="14" t="inlineStr">
        <is>
          <t>BE-CHAT</t>
        </is>
      </c>
      <c r="C47" s="14" t="inlineStr">
        <is>
          <t>แชท (zyra-api, zyra-ws · task 0.25, 0.27, 0.37)</t>
        </is>
      </c>
      <c r="D47" s="14" t="inlineStr">
        <is>
          <t>P1</t>
        </is>
      </c>
      <c r="E47" s="14" t="inlineStr">
        <is>
          <t>Forward</t>
        </is>
      </c>
      <c r="F47" s="14" t="inlineStr">
        <is>
          <t>ส่งต่อข้อความไปห้องอื่น</t>
        </is>
      </c>
      <c r="G47" s="14" t="inlineStr">
        <is>
          <t>ข้อความใหม่ในห้องปลายทาง · เช็คสิทธิ์ผู้ส่งในห้องปลายทาง</t>
        </is>
      </c>
      <c r="H47" s="14" t="inlineStr">
        <is>
          <t>task 0.22</t>
        </is>
      </c>
      <c r="I47" s="15" t="inlineStr">
        <is>
          <t>ยังไม่ทดสอบ</t>
        </is>
      </c>
      <c r="J47" s="14" t="inlineStr"/>
      <c r="K47" s="15" t="inlineStr"/>
      <c r="L47" s="16" t="inlineStr"/>
      <c r="M47" s="15" t="inlineStr"/>
      <c r="N47" s="15" t="inlineStr"/>
      <c r="O47" s="15" t="inlineStr"/>
    </row>
    <row r="48">
      <c r="A48" s="14" t="inlineStr">
        <is>
          <t>BE-CHAT-05</t>
        </is>
      </c>
      <c r="B48" s="14" t="inlineStr">
        <is>
          <t>BE-CHAT</t>
        </is>
      </c>
      <c r="C48" s="14" t="inlineStr">
        <is>
          <t>แชท (zyra-api, zyra-ws · task 0.25, 0.27, 0.37)</t>
        </is>
      </c>
      <c r="D48" s="14" t="inlineStr">
        <is>
          <t>P1</t>
        </is>
      </c>
      <c r="E48" s="14" t="inlineStr">
        <is>
          <t>สร้าง Group / Channel</t>
        </is>
      </c>
      <c r="F48" s="14" t="inlineStr">
        <is>
          <t>สร้างจากมือถือ</t>
        </is>
      </c>
      <c r="G48" s="14" t="inlineStr">
        <is>
          <t>ใช้ API เดิมของ desktop ได้ครบ</t>
        </is>
      </c>
      <c r="H48" s="14" t="inlineStr">
        <is>
          <t>§9.6 ข้อ 1</t>
        </is>
      </c>
      <c r="I48" s="15" t="inlineStr">
        <is>
          <t>ยังไม่ทดสอบ</t>
        </is>
      </c>
      <c r="J48" s="14" t="inlineStr"/>
      <c r="K48" s="15" t="inlineStr"/>
      <c r="L48" s="16" t="inlineStr"/>
      <c r="M48" s="15" t="inlineStr"/>
      <c r="N48" s="15" t="inlineStr"/>
      <c r="O48" s="15" t="inlineStr"/>
    </row>
    <row r="49">
      <c r="A49" s="14" t="inlineStr">
        <is>
          <t>BE-API-01</t>
        </is>
      </c>
      <c r="B49" s="14" t="inlineStr">
        <is>
          <t>BE-API</t>
        </is>
      </c>
      <c r="C49" s="14" t="inlineStr">
        <is>
          <t>ทั่วไป</t>
        </is>
      </c>
      <c r="D49" s="14" t="inlineStr">
        <is>
          <t>P0</t>
        </is>
      </c>
      <c r="E49" s="14" t="inlineStr">
        <is>
          <t>health / version</t>
        </is>
      </c>
      <c r="F49" s="14" t="inlineStr">
        <is>
          <t>GET /api/health หลัง deploy</t>
        </is>
      </c>
      <c r="G49" s="14" t="inlineStr">
        <is>
          <t>200 · version ตรงกับ tag</t>
        </is>
      </c>
      <c r="H49" s="14" t="inlineStr">
        <is>
          <t>rule 06</t>
        </is>
      </c>
      <c r="I49" s="15" t="inlineStr">
        <is>
          <t>ยังไม่ทดสอบ</t>
        </is>
      </c>
      <c r="J49" s="14" t="inlineStr"/>
      <c r="K49" s="15" t="inlineStr"/>
      <c r="L49" s="16" t="inlineStr"/>
      <c r="M49" s="15" t="inlineStr"/>
      <c r="N49" s="15" t="inlineStr"/>
      <c r="O49" s="15" t="inlineStr"/>
    </row>
    <row r="50">
      <c r="A50" s="14" t="inlineStr">
        <is>
          <t>BE-API-02</t>
        </is>
      </c>
      <c r="B50" s="14" t="inlineStr">
        <is>
          <t>BE-API</t>
        </is>
      </c>
      <c r="C50" s="14" t="inlineStr">
        <is>
          <t>ทั่วไป</t>
        </is>
      </c>
      <c r="D50" s="14" t="inlineStr">
        <is>
          <t>P0</t>
        </is>
      </c>
      <c r="E50" s="14" t="inlineStr">
        <is>
          <t>endpoint ของ member</t>
        </is>
      </c>
      <c r="F50" s="14" t="inlineStr">
        <is>
          <t>ไล่ endpoint ที่แอปมือถือเรียก</t>
        </is>
      </c>
      <c r="G50" s="14" t="inlineStr">
        <is>
          <t>อยู่ใต้ /api/user/* หรือ /api/objects ทั้งหมด · ไม่มี /api/admin/*</t>
        </is>
      </c>
      <c r="H50" s="14" t="inlineStr">
        <is>
          <t>rule 15</t>
        </is>
      </c>
      <c r="I50" s="15" t="inlineStr">
        <is>
          <t>ยังไม่ทดสอบ</t>
        </is>
      </c>
      <c r="J50" s="14" t="inlineStr"/>
      <c r="K50" s="15" t="inlineStr"/>
      <c r="L50" s="16" t="inlineStr"/>
      <c r="M50" s="15" t="inlineStr"/>
      <c r="N50" s="15" t="inlineStr"/>
      <c r="O50" s="15" t="inlineStr"/>
    </row>
    <row r="51">
      <c r="A51" s="14" t="inlineStr">
        <is>
          <t>BE-API-03</t>
        </is>
      </c>
      <c r="B51" s="14" t="inlineStr">
        <is>
          <t>BE-API</t>
        </is>
      </c>
      <c r="C51" s="14" t="inlineStr">
        <is>
          <t>ทั่วไป</t>
        </is>
      </c>
      <c r="D51" s="14" t="inlineStr">
        <is>
          <t>P1</t>
        </is>
      </c>
      <c r="E51" s="14" t="inlineStr">
        <is>
          <t>response envelope</t>
        </is>
      </c>
      <c r="F51" s="14" t="inlineStr">
        <is>
          <t>ทุก endpoint ใหม่</t>
        </is>
      </c>
      <c r="G51" s="14" t="inlineStr">
        <is>
          <t>ใช้ model.APIResponse</t>
        </is>
      </c>
      <c r="H51" s="14" t="inlineStr">
        <is>
          <t>rule 02</t>
        </is>
      </c>
      <c r="I51" s="15" t="inlineStr">
        <is>
          <t>ยังไม่ทดสอบ</t>
        </is>
      </c>
      <c r="J51" s="14" t="inlineStr"/>
      <c r="K51" s="15" t="inlineStr"/>
      <c r="L51" s="16" t="inlineStr"/>
      <c r="M51" s="15" t="inlineStr"/>
      <c r="N51" s="15" t="inlineStr"/>
      <c r="O51" s="15" t="inlineStr"/>
    </row>
    <row r="52">
      <c r="A52" s="14" t="inlineStr">
        <is>
          <t>BE-API-04</t>
        </is>
      </c>
      <c r="B52" s="14" t="inlineStr">
        <is>
          <t>BE-API</t>
        </is>
      </c>
      <c r="C52" s="14" t="inlineStr">
        <is>
          <t>ทั่วไป</t>
        </is>
      </c>
      <c r="D52" s="14" t="inlineStr">
        <is>
          <t>P1</t>
        </is>
      </c>
      <c r="E52" s="14" t="inlineStr">
        <is>
          <t>notification settings</t>
        </is>
      </c>
      <c r="F52" s="14" t="inlineStr">
        <is>
          <t>บันทึกสวิตช์ push จากมือถือ</t>
        </is>
      </c>
      <c r="G52" s="14" t="inlineStr">
        <is>
          <t>เก็บฝั่ง server · ใช้ร่วมกับ desktop · ค่า in-app เดิมไม่ถูกเปลี่ยน</t>
        </is>
      </c>
      <c r="H52" s="14" t="inlineStr">
        <is>
          <t>task 2.5 · §19.3</t>
        </is>
      </c>
      <c r="I52" s="15" t="inlineStr">
        <is>
          <t>ยังไม่ทดสอบ</t>
        </is>
      </c>
      <c r="J52" s="14" t="inlineStr"/>
      <c r="K52" s="15" t="inlineStr"/>
      <c r="L52" s="16" t="inlineStr"/>
      <c r="M52" s="15" t="inlineStr"/>
      <c r="N52" s="15" t="inlineStr"/>
      <c r="O52" s="15" t="inlineStr"/>
    </row>
    <row r="53">
      <c r="A53" s="14" t="inlineStr">
        <is>
          <t>BE-API-05</t>
        </is>
      </c>
      <c r="B53" s="14" t="inlineStr">
        <is>
          <t>BE-API</t>
        </is>
      </c>
      <c r="C53" s="14" t="inlineStr">
        <is>
          <t>ทั่วไป</t>
        </is>
      </c>
      <c r="D53" s="14" t="inlineStr">
        <is>
          <t>P0</t>
        </is>
      </c>
      <c r="E53" s="14" t="inlineStr">
        <is>
          <t>ลบบัญชี (Apple 5.1.1(v))</t>
        </is>
      </c>
      <c r="F53" s="14" t="inlineStr">
        <is>
          <t>—</t>
        </is>
      </c>
      <c r="G53" s="14" t="inlineStr">
        <is>
          <t>รอมติ PM (ลบจริงหรือ anonymize, workspace ที่เป็น owner)</t>
        </is>
      </c>
      <c r="H53" s="14" t="inlineStr">
        <is>
          <t>open-items §4</t>
        </is>
      </c>
      <c r="I53" s="15" t="inlineStr">
        <is>
          <t>Blocked</t>
        </is>
      </c>
      <c r="J53" s="14" t="inlineStr">
        <is>
          <t>รอมติ</t>
        </is>
      </c>
      <c r="K53" s="15" t="inlineStr"/>
      <c r="L53" s="16" t="inlineStr"/>
      <c r="M53" s="15" t="inlineStr"/>
      <c r="N53" s="15" t="inlineStr"/>
      <c r="O53" s="15" t="inlineStr"/>
    </row>
    <row r="54">
      <c r="A54" s="14" t="inlineStr">
        <is>
          <t>BE-API-06</t>
        </is>
      </c>
      <c r="B54" s="14" t="inlineStr">
        <is>
          <t>BE-API</t>
        </is>
      </c>
      <c r="C54" s="14" t="inlineStr">
        <is>
          <t>ทั่วไป</t>
        </is>
      </c>
      <c r="D54" s="14" t="inlineStr">
        <is>
          <t>P1</t>
        </is>
      </c>
      <c r="E54" s="14" t="inlineStr">
        <is>
          <t>GET /api/app/config</t>
        </is>
      </c>
      <c r="F54" s="14" t="inlineStr">
        <is>
          <t>เรียกโดยไม่ login · เปลี่ยนค่า env แล้ว restart pod</t>
        </is>
      </c>
      <c r="G54" s="14" t="inlineStr">
        <is>
          <t>คืน min / latest version + store url ของ iOS และ Android · เปลี่ยนค่าได้โดยไม่ต้อง build image ใหม่</t>
        </is>
      </c>
      <c r="H54" s="14" t="inlineStr">
        <is>
          <t>§21.2 · task 0.57</t>
        </is>
      </c>
      <c r="I54" s="15" t="inlineStr">
        <is>
          <t>ยังไม่ทดสอบ</t>
        </is>
      </c>
      <c r="J54" s="14" t="inlineStr"/>
      <c r="K54" s="15" t="inlineStr"/>
      <c r="L54" s="16" t="inlineStr"/>
      <c r="M54" s="15" t="inlineStr"/>
      <c r="N54" s="15" t="inlineStr"/>
      <c r="O54" s="15" t="inlineStr"/>
    </row>
  </sheetData>
  <autoFilter ref="A1:O54"/>
  <conditionalFormatting sqref="I2:I54">
    <cfRule type="expression" priority="1" dxfId="0">
      <formula>$I2="ผ่าน"</formula>
    </cfRule>
    <cfRule type="expression" priority="2" dxfId="1">
      <formula>$I2="ไม่ผ่าน"</formula>
    </cfRule>
    <cfRule type="expression" priority="3" dxfId="2">
      <formula>$I2="Blocked"</formula>
    </cfRule>
  </conditionalFormatting>
  <conditionalFormatting sqref="D2:D54">
    <cfRule type="expression" priority="4" dxfId="3">
      <formula>$D2="P0"</formula>
    </cfRule>
  </conditionalFormatting>
  <dataValidations count="3">
    <dataValidation sqref="I2:I54" showDropDown="0" showInputMessage="0" showErrorMessage="1" allowBlank="0" errorTitle="สถานะไม่ถูกต้อง" error="เลือกจากรายการ: ยังไม่ทดสอบ / ผ่าน / ไม่ผ่าน / Blocked" type="list">
      <formula1>"ยังไม่ทดสอบ,ผ่าน,ไม่ผ่าน,Blocked"</formula1>
    </dataValidation>
    <dataValidation sqref="D2:D54" showDropDown="0" showInputMessage="0" showErrorMessage="0" allowBlank="1" type="list">
      <formula1>"P0,P1,P2,-"</formula1>
    </dataValidation>
    <dataValidation sqref="L2:L54" showDropDown="0" showInputMessage="0" showErrorMessage="1" allowBlank="1" error="ใส่วันที่ เช่น 2026-10-20" type="date" operator="greaterThan">
      <formula1>DATE(2026,1,1)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2026-10-05T10:29:41Z</dcterms:created>
  <dcterms:modified xsi:type="dcterms:W3CDTF">2026-10-05T10:29:41Z</dcterms:modified>
</cp:coreProperties>
</file>